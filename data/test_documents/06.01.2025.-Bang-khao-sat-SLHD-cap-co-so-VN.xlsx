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G:\My Drive\WORK\2024 UNDP GHG inventory and mitigation plan for TPPs\5. Report\Bang du lieu hoat dong cua nhiet dien Thai Binh 2\"/>
    </mc:Choice>
  </mc:AlternateContent>
  <xr:revisionPtr revIDLastSave="0" documentId="13_ncr:1_{0FB0E25E-5030-49E1-BFAE-F109A64024C0}" xr6:coauthVersionLast="47" xr6:coauthVersionMax="47" xr10:uidLastSave="{00000000-0000-0000-0000-000000000000}"/>
  <bookViews>
    <workbookView xWindow="-120" yWindow="-120" windowWidth="29040" windowHeight="15840" tabRatio="912" activeTab="12" xr2:uid="{00000000-000D-0000-FFFF-FFFF00000000}"/>
  </bookViews>
  <sheets>
    <sheet name="Thông tin chung" sheetId="8" r:id="rId1"/>
    <sheet name="Phạm vi 1" sheetId="24" r:id="rId2"/>
    <sheet name="1.1" sheetId="27" r:id="rId3"/>
    <sheet name="1.2" sheetId="28" r:id="rId4"/>
    <sheet name="1.3" sheetId="29" r:id="rId5"/>
    <sheet name="1.4" sheetId="30" r:id="rId6"/>
    <sheet name="1.5" sheetId="31" r:id="rId7"/>
    <sheet name="1.6" sheetId="32" r:id="rId8"/>
    <sheet name="Phạm vi 2" sheetId="25" r:id="rId9"/>
    <sheet name="2.1" sheetId="26" r:id="rId10"/>
    <sheet name="2.2" sheetId="33" r:id="rId11"/>
    <sheet name="Thông tin bổ sung" sheetId="23" r:id="rId12"/>
    <sheet name="Biện pháp giảm thiểu" sheetId="34" r:id="rId13"/>
    <sheet name="Cung cap thong tin khai khoang" sheetId="9" state="hidden" r:id="rId14"/>
  </sheets>
  <externalReferences>
    <externalReference r:id="rId15"/>
    <externalReference r:id="rId16"/>
  </externalReferences>
  <definedNames>
    <definedName name="Bit">[1]Conversion!$C$10</definedName>
    <definedName name="Coa">[2]Conversion!$D$2</definedName>
    <definedName name="Cru">[2]Conversion!$D$7</definedName>
    <definedName name="DO">[2]Conversion!$D$11</definedName>
    <definedName name="Ele">[2]Conversion!$D$21</definedName>
    <definedName name="FO">[2]Conversion!$D$12</definedName>
    <definedName name="Gas">[2]Conversion!$D$8</definedName>
    <definedName name="Jet">[2]Conversion!$D$9</definedName>
    <definedName name="Ker">[2]Conversion!$D$10</definedName>
    <definedName name="LPG">[2]Conversion!$D$13</definedName>
    <definedName name="Lub">[1]Conversion!$C$11</definedName>
    <definedName name="nat_gas">[2]Conversion!$D$19</definedName>
    <definedName name="_xlnm.Print_Area" localSheetId="0">'Thông tin chung'!$B$1:$J$29</definedName>
    <definedName name="Solar">0.086</definedName>
    <definedName name="Wind">0.086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34" l="1"/>
  <c r="H28" i="34"/>
  <c r="H27" i="34"/>
  <c r="AV7" i="31"/>
  <c r="AV6" i="31"/>
  <c r="AV5" i="31"/>
  <c r="AV4" i="31"/>
</calcChain>
</file>

<file path=xl/sharedStrings.xml><?xml version="1.0" encoding="utf-8"?>
<sst xmlns="http://schemas.openxmlformats.org/spreadsheetml/2006/main" count="792" uniqueCount="253">
  <si>
    <t>Trấu</t>
  </si>
  <si>
    <t>Rơm rạ</t>
  </si>
  <si>
    <t>Than củi</t>
  </si>
  <si>
    <t>Đơn vị</t>
  </si>
  <si>
    <t>Tấn</t>
  </si>
  <si>
    <t>Than bitum</t>
  </si>
  <si>
    <t>Dầu DO (Diesel)</t>
  </si>
  <si>
    <t>Dầu FO (Mazut)</t>
  </si>
  <si>
    <t>Khí hóa lỏng (LPG)</t>
  </si>
  <si>
    <t>Khí sinh học</t>
  </si>
  <si>
    <t>Nhiên liệu sinh học lỏng khác</t>
  </si>
  <si>
    <t>Gỗ hoặc chất thải từ gỗ</t>
  </si>
  <si>
    <t>Than sub-bitum</t>
  </si>
  <si>
    <t>Khí tự nhiên (Natural Gas)</t>
  </si>
  <si>
    <t>Khí tự nhiên hóa lỏng (LNG)</t>
  </si>
  <si>
    <t>Bã mía</t>
  </si>
  <si>
    <t>STT</t>
  </si>
  <si>
    <t>Các sản phẩm dầu mỏ khác (nêu tên)</t>
  </si>
  <si>
    <t>Than khác (nêu tên)</t>
  </si>
  <si>
    <t>Nhiên liệu sinh khối rắn khác (nêu tên)</t>
  </si>
  <si>
    <t>Tổng cộng</t>
  </si>
  <si>
    <t>Ghi chú:</t>
  </si>
  <si>
    <t>Tên loại khoáng sản khai thác</t>
  </si>
  <si>
    <t>Đơn vị 
tính</t>
  </si>
  <si>
    <t>Đặc điểm công nghệ khai thác</t>
  </si>
  <si>
    <t>Ghi chú</t>
  </si>
  <si>
    <t>PHẦN II: THÔNG TIN VỀ NGÀNH NGHỀ SẢN XUẤT/KINH DOANH</t>
  </si>
  <si>
    <t>- Người đại diện pháp luật:........................................ Chức danh:......................................................</t>
  </si>
  <si>
    <t>- Điện thoại:..................................................................................................................................................</t>
  </si>
  <si>
    <t>- Email:..........................................................................................................................................................</t>
  </si>
  <si>
    <t>- Địa chỉ:........................................................................................................................................................</t>
  </si>
  <si>
    <t>- Điện thoại:.................................................................................................................................................</t>
  </si>
  <si>
    <t>- Họ và tên người cung cấp thông tin:....................................................................................................................</t>
  </si>
  <si>
    <r>
      <t xml:space="preserve">BẢNG THU THẬP THÔNG TIN, SỐ LIỆU BỔ SUNG ĐỐI VỚI CÁC CƠ SỞ KHAI THÁC KHOÁNG SẢN
</t>
    </r>
    <r>
      <rPr>
        <i/>
        <sz val="11"/>
        <color theme="1"/>
        <rFont val="Calibri"/>
        <family val="2"/>
        <scheme val="minor"/>
      </rPr>
      <t>(Áp dụng cho 01 cơ sở khai thác khoáng sản)</t>
    </r>
  </si>
  <si>
    <t xml:space="preserve">Tổng khối lượng khai thác/năm </t>
  </si>
  <si>
    <t>I.</t>
  </si>
  <si>
    <t>Khai thác than</t>
  </si>
  <si>
    <t>Khai thác hầm lò</t>
  </si>
  <si>
    <t>Khai thác lộ thiên</t>
  </si>
  <si>
    <t>II.</t>
  </si>
  <si>
    <t>Dầu và khí tự nhiên</t>
  </si>
  <si>
    <t>a.</t>
  </si>
  <si>
    <t>b.</t>
  </si>
  <si>
    <t>Dầu</t>
  </si>
  <si>
    <t>Khí tự nhiên</t>
  </si>
  <si>
    <r>
      <rPr>
        <b/>
        <i/>
        <sz val="11"/>
        <color theme="1"/>
        <rFont val="Calibri"/>
        <family val="2"/>
        <scheme val="minor"/>
      </rPr>
      <t xml:space="preserve">* Lưu ý: </t>
    </r>
    <r>
      <rPr>
        <sz val="10"/>
        <color theme="1"/>
        <rFont val="Calibri"/>
        <family val="2"/>
        <scheme val="minor"/>
      </rPr>
      <t xml:space="preserve">
- Các cơ sở có hoạt động khai thác khoáng sản khai báo cả số liệu tiêu thụ năng lượng năm 2020/2022 và sản lượng khai thác.
- Đặc điểm công nghệ khai thác: Nêu vắn tắt tên công nghệ và mô tả đặc điểm chính của công nghệ khai thác liên quan đến quá trình phát tán khí nhà kính trong quá trình khai thác, chế biến, vận chuyển và lưu trữ nhiên liệu.</t>
    </r>
  </si>
  <si>
    <r>
      <t>m</t>
    </r>
    <r>
      <rPr>
        <i/>
        <vertAlign val="superscript"/>
        <sz val="11"/>
        <color theme="1"/>
        <rFont val="Calibri"/>
        <family val="2"/>
        <scheme val="minor"/>
      </rPr>
      <t>3</t>
    </r>
  </si>
  <si>
    <t>Nước thải sinh hoạt</t>
  </si>
  <si>
    <t>…</t>
  </si>
  <si>
    <t>Chất thải công nghiệp (sử dụng như nhiên liệu)</t>
  </si>
  <si>
    <t>Chất thải đô thị (sử dụng như nhiên liệu)</t>
  </si>
  <si>
    <t>- Chức vụ/Bộ phận:....................................................................................................................................................</t>
  </si>
  <si>
    <t>- Ngành nghề sản xuất/Loại hình kinh doanh:...................................................................................................</t>
  </si>
  <si>
    <t>- Tình trạng hoạt động:........................................................./Năm bắt đầu hoạt động:............................</t>
  </si>
  <si>
    <t>Dầu hỏa (Parafin)</t>
  </si>
  <si>
    <t xml:space="preserve">                                                                                     ĐẠI DIỆN CƠ SỞ</t>
  </si>
  <si>
    <t>PHẦN I. THÔNG TIN CHUNG CỦA CƠ SỞ</t>
  </si>
  <si>
    <t>1. Tên cơ sở:.................................................................................................................................</t>
  </si>
  <si>
    <t>Phạm vi phụ</t>
  </si>
  <si>
    <t>Nguồn</t>
  </si>
  <si>
    <t>1.1</t>
  </si>
  <si>
    <t>1.2</t>
  </si>
  <si>
    <t>1.3</t>
  </si>
  <si>
    <t>1.4</t>
  </si>
  <si>
    <t>Phạm vi 1
Phát thải trực tiếp từ các hoạt động do Cơ sở báo cáo sở hữu hoặc kiểm soát</t>
  </si>
  <si>
    <t>Vui lòng điền thông tin vào mục 1.1</t>
  </si>
  <si>
    <t>Vui lòng điền thông tin vào mục 1.2</t>
  </si>
  <si>
    <t>Vui lòng điền thông tin vào mục 1.3</t>
  </si>
  <si>
    <t>Vui lòng điền thông tin vào mục 1.4</t>
  </si>
  <si>
    <t>2.1</t>
  </si>
  <si>
    <t>2.2</t>
  </si>
  <si>
    <t>Vui lòng điền thông tin vào mục 2.1</t>
  </si>
  <si>
    <t>Vui lòng điền thông tin vào mục 2.2</t>
  </si>
  <si>
    <t>1.5</t>
  </si>
  <si>
    <t>Vui lòng điền thông tin vào mục 1.5</t>
  </si>
  <si>
    <t>1.6</t>
  </si>
  <si>
    <t>Vui lòng điền thông tin vào mục 1.6</t>
  </si>
  <si>
    <t>Tháng</t>
  </si>
  <si>
    <t>Tổng</t>
  </si>
  <si>
    <t>Đốt nhiên liệu trong các thiết bị lắp đặt cố định (nồi hơi, lò nung, đầu đốt, tua-bin, lò sưởi, lò đốt, bếp gas v.v…)</t>
  </si>
  <si>
    <t>Đốt nhiên liệu của các thiết bị, phương tiện giao thông vận tải</t>
  </si>
  <si>
    <t>Phát thải phát tán trong quá trình khai thác, chế biến khoáng sản (than, dầu và khí tự nhiên,…)</t>
  </si>
  <si>
    <t>Phát thải phát tán từ điều hòa không khí, tủ lạnh,…</t>
  </si>
  <si>
    <t>Phát thải từ thu gom, xử lý nước thải</t>
  </si>
  <si>
    <t>Tiêu thụ năng lượng điện</t>
  </si>
  <si>
    <t>Sử dụng nhiệt, hơi nước</t>
  </si>
  <si>
    <t>Phạm vi 2
Phát thải gián tiếp từ tiêu thụ điện, sử dụng nhiệt, hơi nước mua từ bên ngoài do Cơ sở báo cáo sử dụng</t>
  </si>
  <si>
    <t>Lượng điện mua từ lưới (EVN)</t>
  </si>
  <si>
    <t>Lượng điện tự sản xuất, tự dùng</t>
  </si>
  <si>
    <t xml:space="preserve"> (Pa)</t>
  </si>
  <si>
    <t>(tấn)</t>
  </si>
  <si>
    <r>
      <t>(</t>
    </r>
    <r>
      <rPr>
        <i/>
        <vertAlign val="superscript"/>
        <sz val="12"/>
        <color theme="1"/>
        <rFont val="Times New Roman"/>
        <family val="1"/>
      </rPr>
      <t>o</t>
    </r>
    <r>
      <rPr>
        <i/>
        <sz val="12"/>
        <color theme="1"/>
        <rFont val="Times New Roman"/>
        <family val="1"/>
      </rPr>
      <t>C)</t>
    </r>
  </si>
  <si>
    <t>(kJ/kg)/(kCal)</t>
  </si>
  <si>
    <t>Tỷ lệ các loại nhiên liệu của lò hơi để tạo ra hơi nước
(ví dụ: 80% than, 20% sinh khối)</t>
  </si>
  <si>
    <t>Áp suất hơi nước</t>
  </si>
  <si>
    <t xml:space="preserve">Nhiệt độ hơi nước </t>
  </si>
  <si>
    <t>Khối lượng hơi nước</t>
  </si>
  <si>
    <t>Entanpi của hơi nước</t>
  </si>
  <si>
    <t>Hiệu suất lò hơi</t>
  </si>
  <si>
    <t>(%)</t>
  </si>
  <si>
    <t>Loại nhiên liệu</t>
  </si>
  <si>
    <t>Khối lượng tiêu thụ</t>
  </si>
  <si>
    <t>Tháng 1</t>
  </si>
  <si>
    <t>Tháng 2</t>
  </si>
  <si>
    <t>Tháng 3</t>
  </si>
  <si>
    <t>Tháng 4</t>
  </si>
  <si>
    <t>Tháng 5</t>
  </si>
  <si>
    <t>Tháng 6</t>
  </si>
  <si>
    <t>Tháng 7</t>
  </si>
  <si>
    <t>Tháng 8</t>
  </si>
  <si>
    <t>Tháng 9</t>
  </si>
  <si>
    <t>Tháng 10</t>
  </si>
  <si>
    <t>Tháng 11</t>
  </si>
  <si>
    <t>Tháng 12</t>
  </si>
  <si>
    <t>Xăng</t>
  </si>
  <si>
    <t>Nhiệt trị thấp: ở nhiệt độ cao của phản ứng đốt cháy nhiên liệu sẽ chuyển hóa nước có trong nhiên liệu thành dạng hơi và bị mất một lượng nhiệt đi theo khói thải ra ngoài môi trường. Lượng nhiệt thực tế thu được gọi là nhiệt trị thấp.</t>
  </si>
  <si>
    <t xml:space="preserve">Ghi chú: </t>
  </si>
  <si>
    <t>Khối lượng nhiên liệu sử dụng trong quá trình đốt từ nguồn cố định của Cơ sở</t>
  </si>
  <si>
    <t>Lượng điện năng tiêu thụ hàng tháng</t>
  </si>
  <si>
    <t>Khối lượng nhiên liệu sử dụng trong quá trình đốt từ nguồn di động</t>
  </si>
  <si>
    <t>Số liệu hoạt động trong khai thác, sản xuất, chế biến khoáng sản</t>
  </si>
  <si>
    <r>
      <t xml:space="preserve">Sản lượng khai thác
</t>
    </r>
    <r>
      <rPr>
        <i/>
        <sz val="12"/>
        <color theme="1"/>
        <rFont val="Times New Roman"/>
        <family val="1"/>
      </rPr>
      <t>(tấn hoặc m</t>
    </r>
    <r>
      <rPr>
        <i/>
        <vertAlign val="superscript"/>
        <sz val="12"/>
        <color theme="1"/>
        <rFont val="Times New Roman"/>
        <family val="1"/>
      </rPr>
      <t>3</t>
    </r>
    <r>
      <rPr>
        <i/>
        <sz val="12"/>
        <color theme="1"/>
        <rFont val="Times New Roman"/>
        <family val="1"/>
      </rPr>
      <t>)</t>
    </r>
  </si>
  <si>
    <t>Vị trí khai thác</t>
  </si>
  <si>
    <t>Đặc điểm công nghệ khai thác và/hoặc chế biến khoáng sản và các công nghệ phụ trợ</t>
  </si>
  <si>
    <r>
      <t xml:space="preserve">Loại khoáng sản
</t>
    </r>
    <r>
      <rPr>
        <i/>
        <sz val="12"/>
        <color theme="1"/>
        <rFont val="Times New Roman"/>
        <family val="1"/>
      </rPr>
      <t>(than, dầu, khí tự nhiên, quặng…)</t>
    </r>
  </si>
  <si>
    <t>Loại môi chất lạnh</t>
  </si>
  <si>
    <t>Vị trí lắp đặt</t>
  </si>
  <si>
    <t>Lượng môi chất lạnh tiêu thụ/nạp</t>
  </si>
  <si>
    <t>kg</t>
  </si>
  <si>
    <t>Thời gian nạp gần nhất</t>
  </si>
  <si>
    <t>Thông tin về các thiết bị lạnh sử dụng</t>
  </si>
  <si>
    <t>Vui lòng điền danh sách AC thuộc sở hữu của Cơ sở/doanh nghiệp</t>
  </si>
  <si>
    <t>Vui lòng điền đơn vị của năng lượng hoặc nhiên liệu theo đúng thống kê của Cơ sở/doanh nghiệp.</t>
  </si>
  <si>
    <t>Vui lòng điền đơn vị của loại môi chất theo đúng thống kê của Cơ sở/doanh nghiệp.</t>
  </si>
  <si>
    <t>Loại nước thải</t>
  </si>
  <si>
    <t>Nước thải công nghiệp</t>
  </si>
  <si>
    <t>mg/lít</t>
  </si>
  <si>
    <t>Loại thu hồi</t>
  </si>
  <si>
    <t>Unit</t>
  </si>
  <si>
    <r>
      <t>CH</t>
    </r>
    <r>
      <rPr>
        <vertAlign val="subscript"/>
        <sz val="12"/>
        <color theme="1"/>
        <rFont val="Times New Roman"/>
        <family val="1"/>
      </rPr>
      <t>4</t>
    </r>
    <r>
      <rPr>
        <sz val="12"/>
        <color theme="1"/>
        <rFont val="Times New Roman"/>
        <family val="1"/>
      </rPr>
      <t xml:space="preserve"> thu hồi</t>
    </r>
  </si>
  <si>
    <r>
      <t>CH</t>
    </r>
    <r>
      <rPr>
        <b/>
        <vertAlign val="subscript"/>
        <sz val="15"/>
        <color theme="1"/>
        <rFont val="Times New Roman"/>
        <family val="1"/>
      </rPr>
      <t>4</t>
    </r>
    <r>
      <rPr>
        <b/>
        <sz val="15"/>
        <color theme="1"/>
        <rFont val="Times New Roman"/>
        <family val="1"/>
      </rPr>
      <t xml:space="preserve"> được thu hồi trong hệ thống xử lý</t>
    </r>
  </si>
  <si>
    <r>
      <t>m</t>
    </r>
    <r>
      <rPr>
        <i/>
        <vertAlign val="superscript"/>
        <sz val="12"/>
        <color theme="1"/>
        <rFont val="Times New Roman"/>
        <family val="1"/>
      </rPr>
      <t>3</t>
    </r>
  </si>
  <si>
    <r>
      <t>kgCOD/m</t>
    </r>
    <r>
      <rPr>
        <i/>
        <vertAlign val="superscript"/>
        <sz val="12"/>
        <color theme="1"/>
        <rFont val="Times New Roman"/>
        <family val="1"/>
      </rPr>
      <t>3</t>
    </r>
  </si>
  <si>
    <r>
      <t>kg CH</t>
    </r>
    <r>
      <rPr>
        <i/>
        <vertAlign val="subscript"/>
        <sz val="12"/>
        <color theme="1"/>
        <rFont val="Times New Roman"/>
        <family val="1"/>
      </rPr>
      <t>4</t>
    </r>
  </si>
  <si>
    <t>Sản lượng/Khối lượng</t>
  </si>
  <si>
    <t>Vui lòng điền đơn vị theo đúng thống kê của Cơ sở/doanh nghiệp.</t>
  </si>
  <si>
    <t xml:space="preserve">Vui lòng mô tả tóm tắt quy trình công nghệ khai thác và/hoặc chế biến khoáng sản và các công nghệ phụ trợ cho khai thác và chế biến khoáng sản. </t>
  </si>
  <si>
    <r>
      <t xml:space="preserve">PHIẾU THU THẬP SỐ LIỆU HOẠT ĐỘNG PHỤC VỤ KIỂM KÊ KHÍ NHÀ KÍNH CẤP CƠ SỞ 
</t>
    </r>
    <r>
      <rPr>
        <i/>
        <sz val="11"/>
        <color theme="1"/>
        <rFont val="Times New Roman"/>
        <family val="1"/>
      </rPr>
      <t>(Kèm theo Công văn số 1790/VNL-P16 ngày 29 tháng 10 năm 2024 của Viện Năng lượng)</t>
    </r>
  </si>
  <si>
    <t>Số liệu hoạt động từ quá trình công nghiệp (khử khí thải lưu huỳnh)</t>
  </si>
  <si>
    <t>Đá vôi (Canxi Cacbonat)</t>
  </si>
  <si>
    <t>Muối Magie Cacbonat</t>
  </si>
  <si>
    <t>Đá Dolomite</t>
  </si>
  <si>
    <t>Sắt(II) carbonat</t>
  </si>
  <si>
    <t>Bột Mangan cacbonat</t>
  </si>
  <si>
    <t>Natri carbonat (soda)</t>
  </si>
  <si>
    <t>Tên sản phẩm/nhiên liệu sử dụng khử lưu huỳnh</t>
  </si>
  <si>
    <t>Số liệu hoạt động từ quá trình công nghiệp sản xuất thép</t>
  </si>
  <si>
    <t>Số liệu hoạt động từ quá trình công nghiệp ngành hóa chất</t>
  </si>
  <si>
    <t>Tên sản phẩm</t>
  </si>
  <si>
    <t xml:space="preserve">Sản lượng thép thô được SX từ lò thổi ôxy BOF </t>
  </si>
  <si>
    <t>Sản lượng amoniac (công nghệ khí hóa than)</t>
  </si>
  <si>
    <t>tấn</t>
  </si>
  <si>
    <t xml:space="preserve">Sản lượng thép thô được SX từ lò nung OHF </t>
  </si>
  <si>
    <t>Sản lượng amoniac (công nghệ reforming)</t>
  </si>
  <si>
    <t xml:space="preserve">Sản lượng thép thô được SX từ các lò khác (nêu tên lò) </t>
  </si>
  <si>
    <t>Sản lượng axit nitric (CN áp suất thấp)</t>
  </si>
  <si>
    <t xml:space="preserve">Sản lượng gang SX được  </t>
  </si>
  <si>
    <t>Sản lượng axit nitric (CN áp suất trung bình)</t>
  </si>
  <si>
    <t xml:space="preserve">Sản lượng gang SX không được chuyển hoá thành thép  </t>
  </si>
  <si>
    <t>Sản lượng axit nitric (CN áp suất cao)</t>
  </si>
  <si>
    <t xml:space="preserve">Sản lượng sắt hoàn nguyên trực tiếp (sắt xốp)  </t>
  </si>
  <si>
    <t xml:space="preserve">Sản lượng quặng thiêu kết </t>
  </si>
  <si>
    <t>Lượng khí gas sử dụng (HFC, PFC…)</t>
  </si>
  <si>
    <t xml:space="preserve">Sản lượng quặng vê viên </t>
  </si>
  <si>
    <t>Lượng than cốc sử dụng</t>
  </si>
  <si>
    <t>Sản lượng than cốc tự SX được (nếu có)</t>
  </si>
  <si>
    <t>Than antraxit để sản xuất…</t>
  </si>
  <si>
    <t>Khí tự nhiên để sản xuất…</t>
  </si>
  <si>
    <t>Methanol được dùng như nguyên liệu</t>
  </si>
  <si>
    <t>Khối lượng sử dụng</t>
  </si>
  <si>
    <t>Các thông tin bổ sung phục vụ kiểm kê và giảm phát thải KNK</t>
  </si>
  <si>
    <t>Thông tin bổ sung</t>
  </si>
  <si>
    <t>Các biện pháp giảm phát thải đã áp dụng</t>
  </si>
  <si>
    <t>Thuyết minh về công nghệ sản xuất và công nghệ đốt/tiêu thụ nhiên liệu của cơ sở/doanh nghiệp</t>
  </si>
  <si>
    <t>Các hóa đơn/chứng từ mua bán liên quan để thực hiện kiểm soát chất lượng (QC)</t>
  </si>
  <si>
    <t>Hóa đơn mua điện, xăng, dầu, khí, hơi,….</t>
  </si>
  <si>
    <t>Bao gồm nước thải sinh hoạt và nước thải công nghiệp</t>
  </si>
  <si>
    <t>Cơ sở liên hệ với nhà cung cấp nhiên liệu để tổng hợp các phiếu phân tích về đặc tính, thông số và thành phần của các loại nhiên liệu đã tiêu thụ năm 2023 và 2024</t>
  </si>
  <si>
    <t xml:space="preserve">Nếu cơ sở có nhiều hơn 01 loại hình công nghệ vui lòng cung cấp thuyết minh của từng loại hình công nghệ </t>
  </si>
  <si>
    <t xml:space="preserve">Phát thải từ các quá trình công nghiệp (các quá trình vật lý hoặc hóa học) và sử dụng sản phẩm </t>
  </si>
  <si>
    <t>Loại sản phẩm sử dụng</t>
  </si>
  <si>
    <t>Chỉ số COD trong nước thải trước khi qua hệ thống xử lý</t>
  </si>
  <si>
    <t>Chỉ số COD trong nước thải sau khi qua hệ thống xử lý</t>
  </si>
  <si>
    <t>Chỉ số BOD5 trong nước thải trước khi qua hệ thống xử lý</t>
  </si>
  <si>
    <t>Chỉ số BOD5 trong nước thải sau khi qua hệ thống xử lý</t>
  </si>
  <si>
    <t>Mã vật tư</t>
  </si>
  <si>
    <t>Đơn vị cung cấp</t>
  </si>
  <si>
    <r>
      <t xml:space="preserve">Lượng hơi nước </t>
    </r>
    <r>
      <rPr>
        <b/>
        <sz val="15"/>
        <color rgb="FFFF0000"/>
        <rFont val="Times New Roman"/>
        <family val="1"/>
      </rPr>
      <t>đã mua</t>
    </r>
    <r>
      <rPr>
        <b/>
        <sz val="15"/>
        <color theme="1"/>
        <rFont val="Times New Roman"/>
        <family val="1"/>
      </rPr>
      <t xml:space="preserve"> hàng tháng</t>
    </r>
  </si>
  <si>
    <t>Than trộn (antraxit + bitum)</t>
  </si>
  <si>
    <t>Môi chất lạnh tiêu thụ nạp (R22)</t>
  </si>
  <si>
    <t>Môi chất lạnh tiêu thụ nạp (R134)</t>
  </si>
  <si>
    <t>Môi chất lạnh tiêu thụ nạp (R32)</t>
  </si>
  <si>
    <t>Số liệu hoạt động từ sử dụng sản phẩm</t>
  </si>
  <si>
    <t>SF6 dùng cho máy cắt</t>
  </si>
  <si>
    <t>C2H2 dùng cho hàn, xì</t>
  </si>
  <si>
    <t>Bình CO2 chữa cháy (Bình MT3)</t>
  </si>
  <si>
    <t>Bình CO2 chữa cháy (Bình MT5)</t>
  </si>
  <si>
    <t>Lượng nước thải phát sinh tại nhà máy 1</t>
  </si>
  <si>
    <t>Lượng nước thải phát sinh tại nhà máy 2</t>
  </si>
  <si>
    <t>Lượng nước thải phát sinh tại khu nhà ở</t>
  </si>
  <si>
    <t>Hàm lượng Nitơ trong nước thải</t>
  </si>
  <si>
    <r>
      <t>Nhu cầu Kỵ khí tiếp xúc: 2 – 5 kgCOD/m3.d.</t>
    </r>
    <r>
      <rPr>
        <sz val="12"/>
        <color rgb="FFFF0000"/>
        <rFont val="Times New Roman"/>
        <family val="1"/>
      </rPr>
      <t>(NĐHP đang sử dụng)</t>
    </r>
    <r>
      <rPr>
        <sz val="12"/>
        <color theme="1"/>
        <rFont val="Times New Roman"/>
        <family val="1"/>
      </rPr>
      <t xml:space="preserve">
              Kỵ khí UASB: 5 – 10 kgCOD/m3.d.
              Kỵ khí EGSB/IC/ICX: 10 – 20 kgCOD/m3.d.
 Quá trình phân hủy kỵ khí sẽ sinh ra lượng khí CH4 bằng 0,40L CH4/gCOD.</t>
    </r>
  </si>
  <si>
    <t>Thuyết minh từng quy trình công nghệ xử lý nước thải của cơ sở;
Báo cáo kết quả phân tích/thí nghiệm nước thải theo tháng</t>
  </si>
  <si>
    <t>Tên biện pháp</t>
  </si>
  <si>
    <t>Nhóm biện pháp</t>
  </si>
  <si>
    <t>A</t>
  </si>
  <si>
    <t>Cải tạo, nâng cấp (lắp thêm các hệ thống để giảm phát thải, đốt kèm phụ gia hoặc nhiên liệu khác …)</t>
  </si>
  <si>
    <t>Năm áp dụng/dự kiến áp dụng</t>
  </si>
  <si>
    <t>B</t>
  </si>
  <si>
    <t>Bù trừ (trồng rừng, năng lượng tái tạo, mua tín chỉ ...)</t>
  </si>
  <si>
    <t>Note: Nêu rõ các biện pháp đơn vị đã thực hiện, dự kiến hoặc đang nghiên cứu để thực hiện nhằm giảm phát thải (cung cấp các tài liệu kỹ thuật/thuyết minh báo cáo liên quan)</t>
  </si>
  <si>
    <t>Đơn vị cung cấp dữ liệu</t>
  </si>
  <si>
    <t>Phiếu kết quả thí nghiệm chất lượng nước thải (đầu vào + đầu ra) của các hệ thống xử lý nước thải</t>
  </si>
  <si>
    <t>Mô tả sơ bộ giải pháp</t>
  </si>
  <si>
    <t>TT</t>
  </si>
  <si>
    <t>Chi phí/dự kiến chi phí</t>
  </si>
  <si>
    <t xml:space="preserve">C </t>
  </si>
  <si>
    <t>Chia sẻ trách nhiệm từ Tập đoàn hoặc Công ty chủ quản</t>
  </si>
  <si>
    <r>
      <t xml:space="preserve">Đơn vị
</t>
    </r>
    <r>
      <rPr>
        <i/>
        <sz val="12"/>
        <rFont val="Times New Roman"/>
        <family val="1"/>
      </rPr>
      <t>(lít/tấn/m</t>
    </r>
    <r>
      <rPr>
        <i/>
        <vertAlign val="superscript"/>
        <sz val="12"/>
        <rFont val="Times New Roman"/>
        <family val="1"/>
      </rPr>
      <t>3</t>
    </r>
    <r>
      <rPr>
        <i/>
        <sz val="12"/>
        <rFont val="Times New Roman"/>
        <family val="1"/>
      </rPr>
      <t>, BTU...)</t>
    </r>
  </si>
  <si>
    <r>
      <t xml:space="preserve">Giá trị nhiệt trị
</t>
    </r>
    <r>
      <rPr>
        <i/>
        <sz val="12"/>
        <rFont val="Times New Roman"/>
        <family val="1"/>
      </rPr>
      <t>(Kcal/kg hoặc Kj/kg)</t>
    </r>
  </si>
  <si>
    <r>
      <t xml:space="preserve">Tên thiết bị, máy móc sử dụng nhiên liệu
</t>
    </r>
    <r>
      <rPr>
        <i/>
        <sz val="12"/>
        <rFont val="Times New Roman"/>
        <family val="1"/>
      </rPr>
      <t>(nồi hơi, lò nung, lò sưởi, lò đốt, bếp gas, máy phát điện v.v…)</t>
    </r>
  </si>
  <si>
    <r>
      <t xml:space="preserve">Loại phương tiện
</t>
    </r>
    <r>
      <rPr>
        <i/>
        <sz val="12"/>
        <rFont val="Times New Roman"/>
        <family val="1"/>
      </rPr>
      <t>(ô tô, xe máy…)</t>
    </r>
  </si>
  <si>
    <r>
      <t xml:space="preserve">Thông tin phương tiện
</t>
    </r>
    <r>
      <rPr>
        <i/>
        <sz val="12"/>
        <rFont val="Times New Roman"/>
        <family val="1"/>
      </rPr>
      <t>(nhãn hiệu, kiểu xe, biển số,...)</t>
    </r>
  </si>
  <si>
    <r>
      <t xml:space="preserve">Quãng đường di chuyển trong năm
</t>
    </r>
    <r>
      <rPr>
        <i/>
        <sz val="12"/>
        <rFont val="Times New Roman"/>
        <family val="1"/>
      </rPr>
      <t>(km)</t>
    </r>
  </si>
  <si>
    <t>Lượng môi chất nạp; Lượng khí sử dụng (SF6, C2H2); Lượng bình chữa cháy CO2 sử dụng</t>
  </si>
  <si>
    <r>
      <t>Thông tin thiết bị</t>
    </r>
    <r>
      <rPr>
        <sz val="12"/>
        <rFont val="Times New Roman"/>
        <family val="1"/>
      </rPr>
      <t xml:space="preserve">
</t>
    </r>
    <r>
      <rPr>
        <i/>
        <sz val="12"/>
        <rFont val="Times New Roman"/>
        <family val="1"/>
      </rPr>
      <t>(nhãn hiệu và kiểu máy)</t>
    </r>
  </si>
  <si>
    <r>
      <t xml:space="preserve">Ngày bắt đầu sử dụng
</t>
    </r>
    <r>
      <rPr>
        <i/>
        <sz val="12"/>
        <rFont val="Times New Roman"/>
        <family val="1"/>
      </rPr>
      <t>(ngày lắp đặt)</t>
    </r>
  </si>
  <si>
    <r>
      <t xml:space="preserve">Loại môi chất lạnh sử dụng
</t>
    </r>
    <r>
      <rPr>
        <i/>
        <sz val="12"/>
        <rFont val="Times New Roman"/>
        <family val="1"/>
      </rPr>
      <t>(R22, R410a, R134a,...)</t>
    </r>
  </si>
  <si>
    <r>
      <t xml:space="preserve">Công suất lạnh
</t>
    </r>
    <r>
      <rPr>
        <i/>
        <sz val="12"/>
        <rFont val="Times New Roman"/>
        <family val="1"/>
      </rPr>
      <t>(BTU/giờ hoặc (kW)</t>
    </r>
  </si>
  <si>
    <r>
      <t xml:space="preserve"> Lượng môi chất lạnh khi nạp đầy </t>
    </r>
    <r>
      <rPr>
        <i/>
        <sz val="12"/>
        <rFont val="Times New Roman"/>
        <family val="1"/>
      </rPr>
      <t>(kg)</t>
    </r>
  </si>
  <si>
    <r>
      <t xml:space="preserve">Lượng nạp gần nhất </t>
    </r>
    <r>
      <rPr>
        <i/>
        <sz val="12"/>
        <rFont val="Times New Roman"/>
        <family val="1"/>
      </rPr>
      <t>(kg)</t>
    </r>
  </si>
  <si>
    <r>
      <t>CaCO</t>
    </r>
    <r>
      <rPr>
        <vertAlign val="subscript"/>
        <sz val="12"/>
        <rFont val="Times New Roman"/>
        <family val="1"/>
      </rPr>
      <t>3</t>
    </r>
  </si>
  <si>
    <r>
      <t>MgCO</t>
    </r>
    <r>
      <rPr>
        <vertAlign val="subscript"/>
        <sz val="12"/>
        <rFont val="Times New Roman"/>
        <family val="1"/>
      </rPr>
      <t>3</t>
    </r>
  </si>
  <si>
    <r>
      <t>CaMg(CO</t>
    </r>
    <r>
      <rPr>
        <vertAlign val="subscript"/>
        <sz val="12"/>
        <rFont val="Times New Roman"/>
        <family val="1"/>
      </rPr>
      <t>3</t>
    </r>
    <r>
      <rPr>
        <sz val="12"/>
        <rFont val="Times New Roman"/>
        <family val="1"/>
      </rPr>
      <t>)</t>
    </r>
    <r>
      <rPr>
        <vertAlign val="subscript"/>
        <sz val="12"/>
        <rFont val="Times New Roman"/>
        <family val="1"/>
      </rPr>
      <t>2</t>
    </r>
  </si>
  <si>
    <r>
      <t>FeCO</t>
    </r>
    <r>
      <rPr>
        <vertAlign val="subscript"/>
        <sz val="12"/>
        <rFont val="Times New Roman"/>
        <family val="1"/>
      </rPr>
      <t>3</t>
    </r>
  </si>
  <si>
    <r>
      <t>Ca(Fe,Mg,Mn)(CO</t>
    </r>
    <r>
      <rPr>
        <vertAlign val="subscript"/>
        <sz val="12"/>
        <rFont val="Times New Roman"/>
        <family val="1"/>
      </rPr>
      <t>3</t>
    </r>
    <r>
      <rPr>
        <sz val="12"/>
        <rFont val="Times New Roman"/>
        <family val="1"/>
      </rPr>
      <t>)</t>
    </r>
    <r>
      <rPr>
        <vertAlign val="subscript"/>
        <sz val="12"/>
        <rFont val="Times New Roman"/>
        <family val="1"/>
      </rPr>
      <t>2</t>
    </r>
  </si>
  <si>
    <r>
      <t>MnCO</t>
    </r>
    <r>
      <rPr>
        <vertAlign val="subscript"/>
        <sz val="12"/>
        <rFont val="Times New Roman"/>
        <family val="1"/>
      </rPr>
      <t>3</t>
    </r>
  </si>
  <si>
    <r>
      <t>Sản lượng CO</t>
    </r>
    <r>
      <rPr>
        <vertAlign val="subscript"/>
        <sz val="12"/>
        <rFont val="Times New Roman"/>
        <family val="1"/>
      </rPr>
      <t>2</t>
    </r>
    <r>
      <rPr>
        <sz val="12"/>
        <rFont val="Times New Roman"/>
        <family val="1"/>
      </rPr>
      <t xml:space="preserve"> thu hồi cho các mục đích khác</t>
    </r>
  </si>
  <si>
    <r>
      <t>Na</t>
    </r>
    <r>
      <rPr>
        <vertAlign val="subscript"/>
        <sz val="12"/>
        <rFont val="Times New Roman"/>
        <family val="1"/>
      </rPr>
      <t>2</t>
    </r>
    <r>
      <rPr>
        <sz val="12"/>
        <rFont val="Times New Roman"/>
        <family val="1"/>
      </rPr>
      <t>CO</t>
    </r>
    <r>
      <rPr>
        <vertAlign val="subscript"/>
        <sz val="12"/>
        <rFont val="Times New Roman"/>
        <family val="1"/>
      </rPr>
      <t>3</t>
    </r>
  </si>
  <si>
    <t>Các thông tin bổ sung vui lòng gửi về địa chỉ email (dinhlephuonganh@gmail.com)</t>
  </si>
  <si>
    <t>Hóa chất …</t>
  </si>
  <si>
    <t>Phiếu phân tích về đặc tính, thông số và các thành phần (phân tích theo tháng) của các loại nhiên liệu đã tiêu thụ (đặc biệt là than, tro xỉ)</t>
  </si>
  <si>
    <t>check quy  trình IP của FGD nước biển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</si>
</sst>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00_-;\-* #,##0.00_-;_-* &quot;-&quot;??_-;_-@_-"/>
    <numFmt numFmtId="165" formatCode="[$-409]mmmm\-yy;@"/>
    <numFmt numFmtId="166" formatCode="#,##0.0000"/>
    <numFmt numFmtId="167" formatCode="_(* #,##0_);_(* \(#,##0\);_(* &quot;-&quot;??_);_(@_)"/>
    <numFmt numFmtId="168" formatCode="#,##0.0"/>
  </numFmts>
  <fonts count="37" x14ac:knownFonts="1">
    <font>
      <sz val="11"/>
      <color theme="1"/>
      <name val="Calibri"/>
      <family val="2"/>
      <scheme val="minor"/>
    </font>
    <font>
      <sz val="10"/>
      <color theme="1"/>
      <name val="Calibri"/>
      <family val="2"/>
      <scheme val="minor"/>
    </font>
    <font>
      <sz val="10"/>
      <name val="Arial"/>
      <family val="2"/>
    </font>
    <font>
      <sz val="11"/>
      <name val="Arial"/>
      <family val="2"/>
    </font>
    <font>
      <i/>
      <sz val="11"/>
      <color theme="1"/>
      <name val="Calibri"/>
      <family val="2"/>
      <scheme val="minor"/>
    </font>
    <font>
      <b/>
      <sz val="11"/>
      <color theme="1"/>
      <name val="Calibri"/>
      <family val="2"/>
      <scheme val="minor"/>
    </font>
    <font>
      <b/>
      <i/>
      <sz val="11"/>
      <color theme="1"/>
      <name val="Calibri"/>
      <family val="2"/>
      <scheme val="minor"/>
    </font>
    <font>
      <i/>
      <vertAlign val="superscript"/>
      <sz val="11"/>
      <color theme="1"/>
      <name val="Calibri"/>
      <family val="2"/>
      <scheme val="minor"/>
    </font>
    <font>
      <b/>
      <sz val="12"/>
      <color theme="1"/>
      <name val="Times New Roman"/>
      <family val="1"/>
    </font>
    <font>
      <sz val="12"/>
      <color theme="1"/>
      <name val="Times New Roman"/>
      <family val="1"/>
    </font>
    <font>
      <i/>
      <sz val="12"/>
      <color theme="1"/>
      <name val="Times New Roman"/>
      <family val="1"/>
    </font>
    <font>
      <b/>
      <i/>
      <sz val="12"/>
      <color theme="1"/>
      <name val="Times New Roman"/>
      <family val="1"/>
    </font>
    <font>
      <b/>
      <sz val="11"/>
      <color theme="1"/>
      <name val="Times New Roman"/>
      <family val="1"/>
    </font>
    <font>
      <i/>
      <sz val="11"/>
      <color theme="1"/>
      <name val="Times New Roman"/>
      <family val="1"/>
    </font>
    <font>
      <sz val="11"/>
      <color theme="1"/>
      <name val="Times New Roman"/>
      <family val="1"/>
    </font>
    <font>
      <sz val="11"/>
      <color theme="1"/>
      <name val="Calibri"/>
      <family val="2"/>
      <scheme val="minor"/>
    </font>
    <font>
      <sz val="10"/>
      <color rgb="FF000000"/>
      <name val="Calibri"/>
      <family val="2"/>
      <scheme val="minor"/>
    </font>
    <font>
      <sz val="1"/>
      <color theme="1"/>
      <name val="Times New Roman"/>
      <family val="1"/>
    </font>
    <font>
      <b/>
      <sz val="15"/>
      <color theme="1"/>
      <name val="Times New Roman"/>
      <family val="1"/>
    </font>
    <font>
      <i/>
      <vertAlign val="superscript"/>
      <sz val="12"/>
      <color theme="1"/>
      <name val="Times New Roman"/>
      <family val="1"/>
    </font>
    <font>
      <vertAlign val="subscript"/>
      <sz val="12"/>
      <color theme="1"/>
      <name val="Times New Roman"/>
      <family val="1"/>
    </font>
    <font>
      <b/>
      <vertAlign val="subscript"/>
      <sz val="15"/>
      <color theme="1"/>
      <name val="Times New Roman"/>
      <family val="1"/>
    </font>
    <font>
      <i/>
      <vertAlign val="subscript"/>
      <sz val="12"/>
      <color theme="1"/>
      <name val="Times New Roman"/>
      <family val="1"/>
    </font>
    <font>
      <sz val="12"/>
      <color rgb="FFFF0000"/>
      <name val="Times New Roman"/>
      <family val="1"/>
    </font>
    <font>
      <b/>
      <sz val="15"/>
      <color rgb="FFFF0000"/>
      <name val="Times New Roman"/>
      <family val="1"/>
    </font>
    <font>
      <sz val="12"/>
      <name val="Times New Roman"/>
      <family val="1"/>
    </font>
    <font>
      <b/>
      <sz val="12"/>
      <name val="Times New Roman"/>
      <family val="1"/>
    </font>
    <font>
      <b/>
      <sz val="15"/>
      <name val="Times New Roman"/>
      <family val="1"/>
    </font>
    <font>
      <i/>
      <sz val="12"/>
      <name val="Times New Roman"/>
      <family val="1"/>
    </font>
    <font>
      <i/>
      <vertAlign val="superscript"/>
      <sz val="12"/>
      <name val="Times New Roman"/>
      <family val="1"/>
    </font>
    <font>
      <b/>
      <i/>
      <sz val="12"/>
      <name val="Times New Roman"/>
      <family val="1"/>
    </font>
    <font>
      <vertAlign val="subscript"/>
      <sz val="12"/>
      <name val="Times New Roman"/>
      <family val="1"/>
    </font>
    <font>
      <b/>
      <sz val="13"/>
      <name val="Times New Roman"/>
      <family val="1"/>
    </font>
    <font>
      <i/>
      <sz val="13"/>
      <name val="Times New Roman"/>
      <family val="1"/>
    </font>
    <font>
      <sz val="13"/>
      <name val="Times New Roman"/>
      <family val="1"/>
    </font>
    <font>
      <b/>
      <i/>
      <sz val="13"/>
      <name val="Times New Roman"/>
      <family val="1"/>
    </font>
    <font>
      <b/>
      <u/>
      <sz val="12"/>
      <name val="Times New Roman"/>
      <family val="1"/>
    </font>
  </fonts>
  <fills count="10">
    <fill>
      <patternFill patternType="none"/>
    </fill>
    <fill>
      <patternFill patternType="gray125"/>
    </fill>
    <fill>
      <patternFill patternType="solid">
        <fgColor indexed="24"/>
      </patternFill>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FFFF"/>
        <bgColor rgb="FF000000"/>
      </patternFill>
    </fill>
    <fill>
      <patternFill patternType="solid">
        <fgColor theme="7"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s>
  <cellStyleXfs count="11">
    <xf numFmtId="0" fontId="0" fillId="0" borderId="0"/>
    <xf numFmtId="0" fontId="3" fillId="2" borderId="0" applyNumberFormat="0"/>
    <xf numFmtId="43" fontId="2" fillId="0" borderId="0" applyFont="0" applyFill="0" applyBorder="0" applyAlignment="0" applyProtection="0"/>
    <xf numFmtId="43" fontId="15" fillId="0" borderId="0" applyFont="0" applyFill="0" applyBorder="0" applyAlignment="0" applyProtection="0"/>
    <xf numFmtId="164" fontId="15" fillId="0" borderId="0" applyFont="0" applyFill="0" applyBorder="0" applyAlignment="0" applyProtection="0"/>
    <xf numFmtId="0" fontId="2" fillId="0" borderId="0"/>
    <xf numFmtId="0" fontId="2" fillId="0" borderId="0"/>
    <xf numFmtId="0" fontId="15" fillId="0" borderId="0"/>
    <xf numFmtId="43" fontId="15" fillId="0" borderId="0" applyFont="0" applyFill="0" applyBorder="0" applyAlignment="0" applyProtection="0"/>
    <xf numFmtId="0" fontId="2" fillId="0" borderId="0"/>
    <xf numFmtId="0" fontId="16" fillId="0" borderId="0"/>
  </cellStyleXfs>
  <cellXfs count="202">
    <xf numFmtId="0" fontId="0" fillId="0" borderId="0" xfId="0"/>
    <xf numFmtId="0" fontId="0" fillId="0" borderId="0" xfId="0" applyAlignment="1">
      <alignment vertical="center" wrapText="1"/>
    </xf>
    <xf numFmtId="0" fontId="5"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5" fillId="0" borderId="1" xfId="0" applyFont="1" applyBorder="1" applyAlignment="1">
      <alignment vertical="center"/>
    </xf>
    <xf numFmtId="0" fontId="0" fillId="0" borderId="1" xfId="0" applyBorder="1" applyAlignment="1">
      <alignment horizontal="right" vertical="center"/>
    </xf>
    <xf numFmtId="0" fontId="0" fillId="0" borderId="1" xfId="0" applyBorder="1" applyAlignment="1">
      <alignment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9"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14" fillId="4" borderId="0" xfId="0" applyFont="1" applyFill="1"/>
    <xf numFmtId="0" fontId="12" fillId="4" borderId="0" xfId="0" applyFont="1" applyFill="1" applyAlignment="1">
      <alignment vertical="center" wrapText="1"/>
    </xf>
    <xf numFmtId="0" fontId="12" fillId="4" borderId="0" xfId="0" applyFont="1" applyFill="1" applyAlignment="1">
      <alignment horizontal="left" vertical="center" wrapText="1"/>
    </xf>
    <xf numFmtId="0" fontId="14" fillId="4" borderId="0" xfId="0" applyFont="1" applyFill="1" applyAlignment="1">
      <alignment vertical="center"/>
    </xf>
    <xf numFmtId="0" fontId="12" fillId="4" borderId="0" xfId="0" applyFont="1" applyFill="1" applyAlignment="1">
      <alignment horizontal="center" vertical="center"/>
    </xf>
    <xf numFmtId="0" fontId="13" fillId="4" borderId="0" xfId="0" applyFont="1" applyFill="1" applyAlignment="1">
      <alignment vertical="center"/>
    </xf>
    <xf numFmtId="49" fontId="12" fillId="6" borderId="1" xfId="0" applyNumberFormat="1" applyFont="1" applyFill="1" applyBorder="1" applyAlignment="1">
      <alignment horizontal="center" vertical="center"/>
    </xf>
    <xf numFmtId="0" fontId="12" fillId="6"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2" fillId="6" borderId="1" xfId="0" applyFont="1" applyFill="1" applyBorder="1" applyAlignment="1">
      <alignment horizontal="center" vertical="center"/>
    </xf>
    <xf numFmtId="0" fontId="14" fillId="4" borderId="0" xfId="0" applyFont="1" applyFill="1" applyAlignment="1">
      <alignment horizontal="center" vertical="center"/>
    </xf>
    <xf numFmtId="49" fontId="14" fillId="4" borderId="1" xfId="0" applyNumberFormat="1" applyFont="1" applyFill="1" applyBorder="1" applyAlignment="1">
      <alignment horizontal="center" vertical="center"/>
    </xf>
    <xf numFmtId="0" fontId="17" fillId="4" borderId="0" xfId="0" applyFont="1" applyFill="1"/>
    <xf numFmtId="0" fontId="9" fillId="4" borderId="0" xfId="0" applyFont="1" applyFill="1"/>
    <xf numFmtId="49" fontId="8" fillId="6" borderId="1" xfId="0" applyNumberFormat="1" applyFont="1" applyFill="1" applyBorder="1" applyAlignment="1">
      <alignment horizontal="center" vertical="center"/>
    </xf>
    <xf numFmtId="0" fontId="8" fillId="6" borderId="1" xfId="0" applyFont="1" applyFill="1" applyBorder="1" applyAlignment="1">
      <alignment horizontal="center" vertical="center" wrapText="1"/>
    </xf>
    <xf numFmtId="0" fontId="9" fillId="4" borderId="0" xfId="0" applyFont="1" applyFill="1" applyAlignment="1">
      <alignment horizontal="center"/>
    </xf>
    <xf numFmtId="49" fontId="9" fillId="4"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3" fontId="9" fillId="0" borderId="1" xfId="0" applyNumberFormat="1" applyFont="1" applyBorder="1" applyAlignment="1">
      <alignment horizontal="center"/>
    </xf>
    <xf numFmtId="1" fontId="9" fillId="0" borderId="1" xfId="0" applyNumberFormat="1" applyFont="1" applyBorder="1" applyAlignment="1">
      <alignment horizontal="center" vertical="center"/>
    </xf>
    <xf numFmtId="165" fontId="8" fillId="0" borderId="1" xfId="0" applyNumberFormat="1" applyFont="1" applyBorder="1" applyAlignment="1">
      <alignment horizontal="center"/>
    </xf>
    <xf numFmtId="2" fontId="8" fillId="0" borderId="1" xfId="0" applyNumberFormat="1" applyFont="1" applyBorder="1" applyAlignment="1">
      <alignment horizontal="center"/>
    </xf>
    <xf numFmtId="3" fontId="8" fillId="0" borderId="1" xfId="0" applyNumberFormat="1" applyFont="1" applyBorder="1" applyAlignment="1">
      <alignment horizontal="center" vertical="center"/>
    </xf>
    <xf numFmtId="0" fontId="12" fillId="4" borderId="0" xfId="0" applyFont="1" applyFill="1"/>
    <xf numFmtId="0" fontId="9" fillId="4" borderId="0" xfId="0" applyFont="1" applyFill="1" applyAlignment="1">
      <alignment vertical="center"/>
    </xf>
    <xf numFmtId="0" fontId="9" fillId="4" borderId="0" xfId="0" applyFont="1" applyFill="1" applyAlignment="1">
      <alignment vertical="center" wrapText="1"/>
    </xf>
    <xf numFmtId="0" fontId="8" fillId="4" borderId="0" xfId="0" applyFont="1" applyFill="1" applyAlignment="1">
      <alignment horizontal="left"/>
    </xf>
    <xf numFmtId="0" fontId="8" fillId="4" borderId="0" xfId="0" applyFont="1" applyFill="1" applyAlignment="1">
      <alignment vertical="center"/>
    </xf>
    <xf numFmtId="0" fontId="8" fillId="4" borderId="0" xfId="0" applyFont="1" applyFill="1"/>
    <xf numFmtId="0" fontId="9" fillId="4" borderId="0" xfId="0" applyFont="1" applyFill="1" applyAlignment="1">
      <alignment horizontal="center" vertical="center"/>
    </xf>
    <xf numFmtId="49" fontId="8" fillId="6" borderId="6" xfId="0" applyNumberFormat="1" applyFont="1" applyFill="1" applyBorder="1" applyAlignment="1">
      <alignment horizontal="center" vertical="center" wrapText="1"/>
    </xf>
    <xf numFmtId="49" fontId="8" fillId="6" borderId="13" xfId="0" applyNumberFormat="1" applyFont="1" applyFill="1" applyBorder="1" applyAlignment="1">
      <alignment horizontal="center" vertical="center" wrapText="1"/>
    </xf>
    <xf numFmtId="3" fontId="8" fillId="4" borderId="1" xfId="0" applyNumberFormat="1" applyFont="1" applyFill="1" applyBorder="1" applyAlignment="1">
      <alignment horizontal="center"/>
    </xf>
    <xf numFmtId="0" fontId="8" fillId="6" borderId="2" xfId="0" applyFont="1" applyFill="1" applyBorder="1" applyAlignment="1">
      <alignment horizontal="center" vertical="center" wrapText="1"/>
    </xf>
    <xf numFmtId="3" fontId="8" fillId="0" borderId="1" xfId="0" applyNumberFormat="1" applyFont="1" applyBorder="1" applyAlignment="1">
      <alignment horizontal="center"/>
    </xf>
    <xf numFmtId="3" fontId="10" fillId="0" borderId="1" xfId="0" applyNumberFormat="1" applyFont="1" applyBorder="1" applyAlignment="1">
      <alignment horizontal="center"/>
    </xf>
    <xf numFmtId="1" fontId="10" fillId="0" borderId="1" xfId="0" applyNumberFormat="1" applyFont="1" applyBorder="1" applyAlignment="1">
      <alignment horizontal="center" vertical="center"/>
    </xf>
    <xf numFmtId="0" fontId="10" fillId="4" borderId="0" xfId="0" applyFont="1" applyFill="1" applyAlignment="1">
      <alignment horizontal="left" vertical="center"/>
    </xf>
    <xf numFmtId="0" fontId="10" fillId="4" borderId="0" xfId="0" applyFont="1" applyFill="1" applyAlignment="1">
      <alignment vertical="center"/>
    </xf>
    <xf numFmtId="0" fontId="11" fillId="4" borderId="0" xfId="0" applyFont="1" applyFill="1"/>
    <xf numFmtId="0" fontId="8" fillId="4" borderId="0" xfId="0" applyFont="1" applyFill="1" applyAlignment="1">
      <alignment horizontal="center" vertical="center"/>
    </xf>
    <xf numFmtId="0" fontId="11" fillId="4" borderId="0" xfId="0" applyFont="1" applyFill="1" applyAlignment="1">
      <alignment horizontal="center" vertical="center"/>
    </xf>
    <xf numFmtId="3" fontId="9" fillId="0" borderId="1" xfId="0" applyNumberFormat="1" applyFont="1" applyBorder="1" applyAlignment="1">
      <alignment horizontal="center" vertical="center" wrapText="1"/>
    </xf>
    <xf numFmtId="17" fontId="8" fillId="6" borderId="1" xfId="0" applyNumberFormat="1" applyFont="1" applyFill="1" applyBorder="1" applyAlignment="1">
      <alignment horizontal="center" vertical="center" wrapText="1"/>
    </xf>
    <xf numFmtId="3" fontId="10" fillId="0" borderId="1" xfId="0" applyNumberFormat="1" applyFont="1" applyBorder="1" applyAlignment="1">
      <alignment horizontal="center" vertical="center" wrapText="1"/>
    </xf>
    <xf numFmtId="3" fontId="9" fillId="0" borderId="1" xfId="0" quotePrefix="1" applyNumberFormat="1" applyFont="1" applyBorder="1" applyAlignment="1">
      <alignment horizontal="center" vertical="center" wrapText="1"/>
    </xf>
    <xf numFmtId="0" fontId="18" fillId="5" borderId="1" xfId="0" applyFont="1" applyFill="1" applyBorder="1" applyAlignment="1">
      <alignment horizontal="center" vertical="center"/>
    </xf>
    <xf numFmtId="3" fontId="9" fillId="0" borderId="0" xfId="0" applyNumberFormat="1" applyFont="1" applyAlignment="1">
      <alignment horizontal="center" vertical="center" wrapText="1"/>
    </xf>
    <xf numFmtId="3" fontId="10" fillId="0" borderId="0" xfId="0" applyNumberFormat="1" applyFont="1" applyAlignment="1">
      <alignment horizontal="center" vertical="center" wrapText="1"/>
    </xf>
    <xf numFmtId="0" fontId="18" fillId="5" borderId="1" xfId="0" applyFont="1" applyFill="1" applyBorder="1" applyAlignment="1">
      <alignment horizontal="center" vertical="center" wrapText="1"/>
    </xf>
    <xf numFmtId="0" fontId="25" fillId="0" borderId="1" xfId="0" applyFont="1" applyBorder="1" applyAlignment="1">
      <alignment horizontal="right"/>
    </xf>
    <xf numFmtId="0" fontId="25" fillId="8" borderId="1" xfId="0" applyFont="1" applyFill="1" applyBorder="1" applyAlignment="1">
      <alignment horizontal="right"/>
    </xf>
    <xf numFmtId="0" fontId="9" fillId="0" borderId="0" xfId="0" applyFont="1" applyAlignment="1">
      <alignment horizontal="center" vertical="center"/>
    </xf>
    <xf numFmtId="0" fontId="9" fillId="0" borderId="0" xfId="0" applyFont="1"/>
    <xf numFmtId="0" fontId="18" fillId="0" borderId="0" xfId="0" applyFont="1" applyAlignment="1">
      <alignment horizontal="center" vertical="center"/>
    </xf>
    <xf numFmtId="0" fontId="9" fillId="9" borderId="1" xfId="0" applyFont="1" applyFill="1" applyBorder="1" applyAlignment="1">
      <alignment horizontal="center" vertical="center"/>
    </xf>
    <xf numFmtId="0" fontId="8" fillId="0" borderId="1" xfId="0" applyFont="1" applyBorder="1" applyAlignment="1">
      <alignment vertical="center"/>
    </xf>
    <xf numFmtId="0" fontId="9" fillId="0" borderId="1" xfId="0" applyFont="1" applyBorder="1"/>
    <xf numFmtId="0" fontId="10" fillId="0" borderId="0" xfId="0" applyFont="1"/>
    <xf numFmtId="0" fontId="25" fillId="4" borderId="0" xfId="0" applyFont="1" applyFill="1" applyAlignment="1">
      <alignment horizontal="left" vertical="center"/>
    </xf>
    <xf numFmtId="0" fontId="26" fillId="6" borderId="1" xfId="0" applyFont="1" applyFill="1" applyBorder="1" applyAlignment="1">
      <alignment horizontal="center" vertical="center"/>
    </xf>
    <xf numFmtId="0" fontId="26" fillId="6" borderId="1" xfId="0" applyFont="1" applyFill="1" applyBorder="1" applyAlignment="1">
      <alignment horizontal="center" vertical="center" wrapText="1"/>
    </xf>
    <xf numFmtId="0" fontId="26" fillId="4" borderId="0" xfId="0" applyFont="1" applyFill="1" applyAlignment="1">
      <alignment horizontal="left" vertical="center"/>
    </xf>
    <xf numFmtId="0" fontId="25" fillId="0" borderId="1" xfId="0" applyFont="1" applyBorder="1" applyAlignment="1">
      <alignment horizontal="center" vertical="center"/>
    </xf>
    <xf numFmtId="0" fontId="25" fillId="0" borderId="1" xfId="0" applyFont="1" applyBorder="1" applyAlignment="1">
      <alignment horizontal="left" vertical="center" wrapText="1"/>
    </xf>
    <xf numFmtId="0" fontId="28" fillId="0" borderId="1" xfId="0" applyFont="1" applyBorder="1" applyAlignment="1">
      <alignment horizontal="center" vertical="center"/>
    </xf>
    <xf numFmtId="167" fontId="26" fillId="0" borderId="1" xfId="3" applyNumberFormat="1"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vertical="center"/>
    </xf>
    <xf numFmtId="167" fontId="26" fillId="0" borderId="1" xfId="3" applyNumberFormat="1" applyFont="1" applyFill="1" applyBorder="1" applyAlignment="1">
      <alignment horizontal="center" vertical="center"/>
    </xf>
    <xf numFmtId="0" fontId="25" fillId="0" borderId="0" xfId="0" applyFont="1" applyAlignment="1">
      <alignment horizontal="left" vertical="center"/>
    </xf>
    <xf numFmtId="3" fontId="25" fillId="0" borderId="1" xfId="0" applyNumberFormat="1" applyFont="1" applyBorder="1" applyAlignment="1">
      <alignment horizontal="center" vertical="center"/>
    </xf>
    <xf numFmtId="0" fontId="25" fillId="0" borderId="1" xfId="0" applyFont="1" applyBorder="1" applyAlignment="1">
      <alignment vertical="center" wrapText="1"/>
    </xf>
    <xf numFmtId="0" fontId="26" fillId="0" borderId="1" xfId="0" applyFont="1" applyBorder="1" applyAlignment="1">
      <alignment horizontal="center" vertical="center"/>
    </xf>
    <xf numFmtId="0" fontId="28" fillId="0" borderId="1" xfId="0" applyFont="1" applyBorder="1" applyAlignment="1">
      <alignment horizontal="center" vertical="center" wrapText="1"/>
    </xf>
    <xf numFmtId="0" fontId="30" fillId="4" borderId="0" xfId="0" applyFont="1" applyFill="1" applyAlignment="1">
      <alignment horizontal="left" vertical="center"/>
    </xf>
    <xf numFmtId="0" fontId="25" fillId="4" borderId="0" xfId="0" applyFont="1" applyFill="1" applyAlignment="1">
      <alignment horizontal="center" vertical="center"/>
    </xf>
    <xf numFmtId="0" fontId="28" fillId="4" borderId="0" xfId="0" applyFont="1" applyFill="1" applyAlignment="1">
      <alignment horizontal="left" vertical="center"/>
    </xf>
    <xf numFmtId="0" fontId="28" fillId="4" borderId="0" xfId="0" quotePrefix="1" applyFont="1" applyFill="1" applyAlignment="1">
      <alignment horizontal="left" vertical="center"/>
    </xf>
    <xf numFmtId="0" fontId="25" fillId="0" borderId="1" xfId="0" applyFont="1" applyBorder="1" applyAlignment="1">
      <alignment horizontal="right" vertical="center"/>
    </xf>
    <xf numFmtId="0" fontId="25" fillId="0" borderId="1" xfId="0" applyFont="1" applyBorder="1" applyAlignment="1">
      <alignment horizontal="center"/>
    </xf>
    <xf numFmtId="0" fontId="25" fillId="4" borderId="0" xfId="0" applyFont="1" applyFill="1" applyAlignment="1">
      <alignment vertical="center"/>
    </xf>
    <xf numFmtId="0" fontId="28" fillId="4" borderId="0" xfId="0" quotePrefix="1" applyFont="1" applyFill="1" applyAlignment="1">
      <alignment vertical="center"/>
    </xf>
    <xf numFmtId="17" fontId="26" fillId="6" borderId="1" xfId="0" applyNumberFormat="1" applyFont="1" applyFill="1" applyBorder="1" applyAlignment="1">
      <alignment horizontal="center" vertical="center" wrapText="1"/>
    </xf>
    <xf numFmtId="0" fontId="25" fillId="0" borderId="7" xfId="0" applyFont="1" applyBorder="1" applyAlignment="1">
      <alignment horizontal="center" vertical="center" wrapText="1"/>
    </xf>
    <xf numFmtId="3" fontId="28" fillId="0" borderId="1" xfId="0" applyNumberFormat="1" applyFont="1" applyBorder="1" applyAlignment="1">
      <alignment horizontal="center" vertical="center" wrapText="1"/>
    </xf>
    <xf numFmtId="3" fontId="25" fillId="0" borderId="1" xfId="0" applyNumberFormat="1" applyFont="1" applyBorder="1" applyAlignment="1">
      <alignment horizontal="center" vertical="center" wrapText="1"/>
    </xf>
    <xf numFmtId="168" fontId="26" fillId="0" borderId="1" xfId="0" applyNumberFormat="1" applyFont="1" applyBorder="1" applyAlignment="1">
      <alignment horizontal="center" vertical="center" wrapText="1"/>
    </xf>
    <xf numFmtId="3" fontId="26" fillId="0" borderId="1" xfId="0" applyNumberFormat="1" applyFont="1" applyBorder="1" applyAlignment="1">
      <alignment horizontal="center" vertical="center" wrapText="1"/>
    </xf>
    <xf numFmtId="3" fontId="25" fillId="4" borderId="0" xfId="0" applyNumberFormat="1" applyFont="1" applyFill="1" applyAlignment="1">
      <alignment horizontal="center" vertical="center" wrapText="1"/>
    </xf>
    <xf numFmtId="3" fontId="26" fillId="4" borderId="0" xfId="0" applyNumberFormat="1" applyFont="1" applyFill="1" applyAlignment="1">
      <alignment horizontal="center" vertical="center" wrapText="1"/>
    </xf>
    <xf numFmtId="0" fontId="30" fillId="4" borderId="0" xfId="0" applyFont="1" applyFill="1"/>
    <xf numFmtId="0" fontId="28" fillId="4" borderId="0" xfId="0" applyFont="1" applyFill="1" applyAlignment="1">
      <alignment vertical="center"/>
    </xf>
    <xf numFmtId="0" fontId="25" fillId="4" borderId="0" xfId="0" applyFont="1" applyFill="1"/>
    <xf numFmtId="0" fontId="26" fillId="4" borderId="0" xfId="0" applyFont="1" applyFill="1" applyAlignment="1">
      <alignment vertical="center" wrapText="1"/>
    </xf>
    <xf numFmtId="3" fontId="25" fillId="0" borderId="1" xfId="0" applyNumberFormat="1" applyFont="1" applyBorder="1" applyAlignment="1">
      <alignment horizontal="left" vertical="center" wrapText="1"/>
    </xf>
    <xf numFmtId="0" fontId="25" fillId="4" borderId="1" xfId="0" applyFont="1" applyFill="1" applyBorder="1" applyAlignment="1">
      <alignment horizontal="center" vertical="center"/>
    </xf>
    <xf numFmtId="0" fontId="25" fillId="4" borderId="1" xfId="0" applyFont="1" applyFill="1" applyBorder="1"/>
    <xf numFmtId="0" fontId="25" fillId="4" borderId="0" xfId="0" applyFont="1" applyFill="1" applyAlignment="1">
      <alignment vertical="center" wrapText="1"/>
    </xf>
    <xf numFmtId="0" fontId="26" fillId="4" borderId="0" xfId="0" applyFont="1" applyFill="1" applyAlignment="1">
      <alignment horizontal="left"/>
    </xf>
    <xf numFmtId="49" fontId="32" fillId="6" borderId="6" xfId="0" applyNumberFormat="1" applyFont="1" applyFill="1" applyBorder="1" applyAlignment="1">
      <alignment horizontal="center" vertical="center" wrapText="1"/>
    </xf>
    <xf numFmtId="49" fontId="32" fillId="6" borderId="13" xfId="0" applyNumberFormat="1" applyFont="1" applyFill="1" applyBorder="1" applyAlignment="1">
      <alignment horizontal="center" vertical="center" wrapText="1"/>
    </xf>
    <xf numFmtId="0" fontId="32" fillId="6" borderId="2" xfId="0" quotePrefix="1" applyFont="1" applyFill="1" applyBorder="1" applyAlignment="1">
      <alignment horizontal="center" vertical="center" wrapText="1"/>
    </xf>
    <xf numFmtId="0" fontId="32" fillId="6" borderId="1" xfId="0" quotePrefix="1" applyFont="1" applyFill="1" applyBorder="1" applyAlignment="1">
      <alignment horizontal="center" vertical="center" wrapText="1"/>
    </xf>
    <xf numFmtId="3" fontId="32" fillId="4" borderId="1" xfId="0" applyNumberFormat="1" applyFont="1" applyFill="1" applyBorder="1" applyAlignment="1">
      <alignment horizontal="center"/>
    </xf>
    <xf numFmtId="3" fontId="33" fillId="4" borderId="1" xfId="0" applyNumberFormat="1" applyFont="1" applyFill="1" applyBorder="1" applyAlignment="1">
      <alignment horizontal="center"/>
    </xf>
    <xf numFmtId="3" fontId="34" fillId="0" borderId="1" xfId="0" applyNumberFormat="1" applyFont="1" applyBorder="1"/>
    <xf numFmtId="167" fontId="34" fillId="4" borderId="1" xfId="3" applyNumberFormat="1" applyFont="1" applyFill="1" applyBorder="1" applyAlignment="1">
      <alignment horizontal="center" vertical="center"/>
    </xf>
    <xf numFmtId="165" fontId="32" fillId="4" borderId="1" xfId="0" applyNumberFormat="1" applyFont="1" applyFill="1" applyBorder="1" applyAlignment="1">
      <alignment horizontal="center"/>
    </xf>
    <xf numFmtId="3" fontId="35" fillId="4" borderId="1" xfId="0" applyNumberFormat="1" applyFont="1" applyFill="1" applyBorder="1" applyAlignment="1">
      <alignment horizontal="center"/>
    </xf>
    <xf numFmtId="3" fontId="32" fillId="4" borderId="1" xfId="0" applyNumberFormat="1" applyFont="1" applyFill="1" applyBorder="1" applyAlignment="1">
      <alignment horizontal="right" vertical="center"/>
    </xf>
    <xf numFmtId="3" fontId="32" fillId="4" borderId="1" xfId="0" applyNumberFormat="1" applyFont="1" applyFill="1" applyBorder="1" applyAlignment="1">
      <alignment horizontal="center" vertical="center"/>
    </xf>
    <xf numFmtId="0" fontId="26" fillId="4" borderId="0" xfId="0" applyFont="1" applyFill="1" applyAlignment="1">
      <alignment vertical="center"/>
    </xf>
    <xf numFmtId="0" fontId="26" fillId="4" borderId="0" xfId="0" applyFont="1" applyFill="1"/>
    <xf numFmtId="0" fontId="36" fillId="4" borderId="0" xfId="0" applyFont="1" applyFill="1" applyAlignment="1">
      <alignment vertical="center"/>
    </xf>
    <xf numFmtId="0" fontId="25" fillId="4" borderId="0" xfId="0" applyFont="1" applyFill="1" applyAlignment="1">
      <alignment horizontal="right" vertical="center"/>
    </xf>
    <xf numFmtId="166" fontId="25" fillId="4" borderId="0" xfId="0" applyNumberFormat="1" applyFont="1" applyFill="1"/>
    <xf numFmtId="0" fontId="28" fillId="0" borderId="1" xfId="0" applyFont="1" applyBorder="1" applyAlignment="1">
      <alignment horizontal="left" vertical="center" wrapText="1"/>
    </xf>
    <xf numFmtId="0" fontId="28" fillId="0" borderId="1" xfId="0" applyFont="1" applyBorder="1" applyAlignment="1">
      <alignment horizontal="left" vertical="center"/>
    </xf>
    <xf numFmtId="0" fontId="25" fillId="0" borderId="1" xfId="0" applyFont="1" applyBorder="1" applyAlignment="1">
      <alignment horizontal="left" vertical="center"/>
    </xf>
    <xf numFmtId="0" fontId="23" fillId="7" borderId="0" xfId="0" applyFont="1" applyFill="1"/>
    <xf numFmtId="0" fontId="14" fillId="4" borderId="11" xfId="0" quotePrefix="1" applyFont="1" applyFill="1" applyBorder="1" applyAlignment="1">
      <alignment horizontal="left" vertical="center"/>
    </xf>
    <xf numFmtId="0" fontId="14" fillId="4" borderId="0" xfId="0" applyFont="1" applyFill="1" applyAlignment="1">
      <alignment horizontal="left" vertical="center"/>
    </xf>
    <xf numFmtId="0" fontId="14" fillId="4" borderId="9" xfId="0" applyFont="1" applyFill="1" applyBorder="1" applyAlignment="1">
      <alignment horizontal="left" vertical="center"/>
    </xf>
    <xf numFmtId="0" fontId="12" fillId="4" borderId="13"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12" fillId="4" borderId="0" xfId="0" applyFont="1" applyFill="1" applyAlignment="1">
      <alignment horizontal="center" vertical="center" wrapText="1"/>
    </xf>
    <xf numFmtId="0" fontId="12" fillId="4" borderId="9" xfId="0" applyFont="1" applyFill="1" applyBorder="1" applyAlignment="1">
      <alignment horizontal="center" vertical="center" wrapText="1"/>
    </xf>
    <xf numFmtId="0" fontId="12" fillId="4" borderId="11" xfId="0" applyFont="1" applyFill="1" applyBorder="1" applyAlignment="1">
      <alignment horizontal="left" vertical="center"/>
    </xf>
    <xf numFmtId="0" fontId="12" fillId="4" borderId="0" xfId="0" applyFont="1" applyFill="1" applyAlignment="1">
      <alignment horizontal="left" vertical="center"/>
    </xf>
    <xf numFmtId="0" fontId="12" fillId="4" borderId="9" xfId="0" applyFont="1" applyFill="1" applyBorder="1" applyAlignment="1">
      <alignment horizontal="left" vertical="center"/>
    </xf>
    <xf numFmtId="0" fontId="14" fillId="4" borderId="11" xfId="0" applyFont="1" applyFill="1" applyBorder="1" applyAlignment="1">
      <alignment horizontal="left" vertical="center"/>
    </xf>
    <xf numFmtId="0" fontId="14" fillId="4" borderId="11" xfId="0" applyFont="1" applyFill="1" applyBorder="1" applyAlignment="1">
      <alignment horizontal="center" vertical="center" wrapText="1"/>
    </xf>
    <xf numFmtId="0" fontId="14" fillId="4" borderId="0" xfId="0" applyFont="1" applyFill="1" applyAlignment="1">
      <alignment horizontal="center" vertical="center" wrapText="1"/>
    </xf>
    <xf numFmtId="0" fontId="14" fillId="4" borderId="9"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4" fillId="4" borderId="10" xfId="0" applyFont="1" applyFill="1" applyBorder="1" applyAlignment="1">
      <alignment horizontal="center" vertical="center" wrapText="1"/>
    </xf>
    <xf numFmtId="0" fontId="12" fillId="4" borderId="11" xfId="0" applyFont="1" applyFill="1" applyBorder="1" applyAlignment="1">
      <alignment horizontal="center" vertical="center"/>
    </xf>
    <xf numFmtId="0" fontId="12" fillId="4" borderId="0" xfId="0" applyFont="1" applyFill="1" applyAlignment="1">
      <alignment horizontal="center" vertical="center"/>
    </xf>
    <xf numFmtId="0" fontId="12" fillId="4" borderId="9" xfId="0" applyFont="1" applyFill="1" applyBorder="1" applyAlignment="1">
      <alignment horizontal="center" vertical="center"/>
    </xf>
    <xf numFmtId="0" fontId="18" fillId="5" borderId="1" xfId="0" applyFont="1" applyFill="1" applyBorder="1" applyAlignment="1">
      <alignment horizontal="center" vertical="center" wrapText="1"/>
    </xf>
    <xf numFmtId="0" fontId="27" fillId="5" borderId="2" xfId="0" applyFont="1" applyFill="1" applyBorder="1" applyAlignment="1">
      <alignment horizontal="center" vertical="center"/>
    </xf>
    <xf numFmtId="0" fontId="27" fillId="5" borderId="3" xfId="0" applyFont="1" applyFill="1" applyBorder="1" applyAlignment="1">
      <alignment horizontal="center" vertical="center"/>
    </xf>
    <xf numFmtId="0" fontId="27" fillId="5" borderId="4" xfId="0" applyFont="1" applyFill="1" applyBorder="1" applyAlignment="1">
      <alignment horizontal="center" vertical="center"/>
    </xf>
    <xf numFmtId="0" fontId="26" fillId="6" borderId="6" xfId="0" applyFont="1" applyFill="1" applyBorder="1" applyAlignment="1">
      <alignment horizontal="center" vertical="center" wrapText="1"/>
    </xf>
    <xf numFmtId="0" fontId="26" fillId="6" borderId="7" xfId="0" applyFont="1" applyFill="1" applyBorder="1" applyAlignment="1">
      <alignment horizontal="center" vertical="center" wrapText="1"/>
    </xf>
    <xf numFmtId="0" fontId="26" fillId="6" borderId="1" xfId="0" applyFont="1" applyFill="1" applyBorder="1" applyAlignment="1">
      <alignment horizontal="center" vertical="center"/>
    </xf>
    <xf numFmtId="0" fontId="26" fillId="6" borderId="1" xfId="0" applyFont="1" applyFill="1" applyBorder="1" applyAlignment="1">
      <alignment horizontal="center" vertical="center" wrapText="1"/>
    </xf>
    <xf numFmtId="0" fontId="26" fillId="6" borderId="2" xfId="0" applyFont="1" applyFill="1" applyBorder="1" applyAlignment="1">
      <alignment horizontal="center" vertical="center" wrapText="1"/>
    </xf>
    <xf numFmtId="0" fontId="26" fillId="6" borderId="3" xfId="0" applyFont="1" applyFill="1" applyBorder="1" applyAlignment="1">
      <alignment horizontal="center" vertical="center" wrapText="1"/>
    </xf>
    <xf numFmtId="0" fontId="26" fillId="6" borderId="4" xfId="0" applyFont="1" applyFill="1" applyBorder="1" applyAlignment="1">
      <alignment horizontal="center" vertical="center" wrapText="1"/>
    </xf>
    <xf numFmtId="0" fontId="27" fillId="5" borderId="14" xfId="0" applyFont="1" applyFill="1" applyBorder="1" applyAlignment="1">
      <alignment horizontal="center" vertical="center"/>
    </xf>
    <xf numFmtId="0" fontId="27" fillId="5" borderId="5" xfId="0" applyFont="1" applyFill="1" applyBorder="1" applyAlignment="1">
      <alignment horizontal="center" vertical="center"/>
    </xf>
    <xf numFmtId="0" fontId="27" fillId="5" borderId="10" xfId="0" applyFont="1" applyFill="1" applyBorder="1" applyAlignment="1">
      <alignment horizontal="center" vertical="center"/>
    </xf>
    <xf numFmtId="0" fontId="18" fillId="5" borderId="1" xfId="0" applyFont="1" applyFill="1" applyBorder="1" applyAlignment="1">
      <alignment horizontal="center" vertical="center"/>
    </xf>
    <xf numFmtId="0" fontId="27" fillId="5" borderId="1" xfId="0" applyFont="1" applyFill="1" applyBorder="1" applyAlignment="1">
      <alignment horizontal="center" vertical="center"/>
    </xf>
    <xf numFmtId="49" fontId="26" fillId="6" borderId="6" xfId="0" applyNumberFormat="1" applyFont="1" applyFill="1" applyBorder="1" applyAlignment="1">
      <alignment horizontal="center" vertical="center"/>
    </xf>
    <xf numFmtId="49" fontId="26" fillId="6" borderId="7" xfId="0" applyNumberFormat="1" applyFont="1" applyFill="1" applyBorder="1" applyAlignment="1">
      <alignment horizontal="center" vertical="center"/>
    </xf>
    <xf numFmtId="0" fontId="26" fillId="6" borderId="6" xfId="0" applyFont="1" applyFill="1" applyBorder="1" applyAlignment="1">
      <alignment horizontal="center" vertical="center"/>
    </xf>
    <xf numFmtId="0" fontId="26" fillId="6" borderId="7" xfId="0" applyFont="1" applyFill="1" applyBorder="1" applyAlignment="1">
      <alignment horizontal="center" vertical="center"/>
    </xf>
    <xf numFmtId="0" fontId="26" fillId="6" borderId="2" xfId="0" applyFont="1" applyFill="1" applyBorder="1" applyAlignment="1">
      <alignment horizontal="center" vertical="center"/>
    </xf>
    <xf numFmtId="0" fontId="26" fillId="6" borderId="3" xfId="0" applyFont="1" applyFill="1" applyBorder="1" applyAlignment="1">
      <alignment horizontal="center" vertical="center"/>
    </xf>
    <xf numFmtId="0" fontId="26" fillId="6" borderId="4" xfId="0" applyFont="1" applyFill="1" applyBorder="1" applyAlignment="1">
      <alignment horizontal="center" vertical="center"/>
    </xf>
    <xf numFmtId="0" fontId="9" fillId="7" borderId="0" xfId="0" applyFont="1" applyFill="1" applyAlignment="1">
      <alignment horizontal="left" vertical="center" wrapText="1"/>
    </xf>
    <xf numFmtId="0" fontId="9" fillId="7" borderId="0" xfId="0" applyFont="1" applyFill="1" applyAlignment="1">
      <alignment horizontal="left" vertical="center"/>
    </xf>
    <xf numFmtId="0" fontId="18" fillId="5" borderId="2" xfId="0" applyFont="1" applyFill="1" applyBorder="1" applyAlignment="1">
      <alignment horizontal="center" vertical="center"/>
    </xf>
    <xf numFmtId="0" fontId="18" fillId="5" borderId="3"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2" xfId="0" applyFont="1" applyFill="1" applyBorder="1" applyAlignment="1">
      <alignment horizontal="center" vertical="center" wrapText="1"/>
    </xf>
    <xf numFmtId="0" fontId="18" fillId="5" borderId="3"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8" fillId="5" borderId="1" xfId="0" applyFont="1" applyFill="1" applyBorder="1" applyAlignment="1">
      <alignment horizontal="center" vertical="center"/>
    </xf>
    <xf numFmtId="0" fontId="8" fillId="9" borderId="2" xfId="0" applyFont="1" applyFill="1" applyBorder="1" applyAlignment="1">
      <alignment horizontal="left" vertical="center"/>
    </xf>
    <xf numFmtId="0" fontId="8" fillId="9" borderId="3" xfId="0" applyFont="1" applyFill="1" applyBorder="1" applyAlignment="1">
      <alignment horizontal="left" vertical="center"/>
    </xf>
    <xf numFmtId="0" fontId="8" fillId="9" borderId="4" xfId="0" applyFont="1" applyFill="1" applyBorder="1" applyAlignment="1">
      <alignment horizontal="left" vertical="center"/>
    </xf>
    <xf numFmtId="0" fontId="8" fillId="9" borderId="2" xfId="0" applyFont="1" applyFill="1" applyBorder="1" applyAlignment="1">
      <alignment horizontal="left" vertical="center" wrapText="1"/>
    </xf>
    <xf numFmtId="0" fontId="8" fillId="9" borderId="3" xfId="0" applyFont="1" applyFill="1" applyBorder="1" applyAlignment="1">
      <alignment horizontal="left" vertical="center" wrapText="1"/>
    </xf>
    <xf numFmtId="0" fontId="8" fillId="9" borderId="4" xfId="0" applyFont="1" applyFill="1" applyBorder="1" applyAlignment="1">
      <alignment horizontal="left" vertical="center" wrapText="1"/>
    </xf>
    <xf numFmtId="0" fontId="5" fillId="3" borderId="1" xfId="0" applyFont="1" applyFill="1" applyBorder="1" applyAlignment="1">
      <alignment horizontal="center" vertical="center"/>
    </xf>
    <xf numFmtId="0" fontId="5" fillId="0" borderId="5" xfId="0" applyFont="1" applyBorder="1" applyAlignment="1">
      <alignment horizontal="left" vertical="center" wrapText="1"/>
    </xf>
    <xf numFmtId="0" fontId="1" fillId="0" borderId="8" xfId="0" applyFont="1" applyBorder="1" applyAlignment="1">
      <alignment horizontal="left" vertical="center" wrapText="1"/>
    </xf>
    <xf numFmtId="0" fontId="5" fillId="3" borderId="1" xfId="0" applyFont="1" applyFill="1" applyBorder="1" applyAlignment="1">
      <alignment horizontal="center" vertical="center" wrapText="1"/>
    </xf>
  </cellXfs>
  <cellStyles count="11">
    <cellStyle name="1" xfId="1" xr:uid="{00000000-0005-0000-0000-000000000000}"/>
    <cellStyle name="Comma" xfId="3" builtinId="3"/>
    <cellStyle name="Comma 2" xfId="2" xr:uid="{00000000-0005-0000-0000-000002000000}"/>
    <cellStyle name="Comma 2 2" xfId="8" xr:uid="{00000000-0005-0000-0000-000003000000}"/>
    <cellStyle name="Comma 3" xfId="4" xr:uid="{00000000-0005-0000-0000-000004000000}"/>
    <cellStyle name="Normal" xfId="0" builtinId="0"/>
    <cellStyle name="Normal 2" xfId="5" xr:uid="{00000000-0005-0000-0000-000006000000}"/>
    <cellStyle name="Normal 2 2" xfId="7" xr:uid="{00000000-0005-0000-0000-000007000000}"/>
    <cellStyle name="Normal 3" xfId="10" xr:uid="{00000000-0005-0000-0000-000008000000}"/>
    <cellStyle name="Normal 3 2" xfId="6" xr:uid="{00000000-0005-0000-0000-000009000000}"/>
    <cellStyle name="Normal 5" xfId="9" xr:uid="{00000000-0005-0000-0000-00000A000000}"/>
  </cellStyles>
  <dxfs count="8">
    <dxf>
      <font>
        <color auto="1"/>
      </font>
      <fill>
        <patternFill patternType="solid">
          <fgColor indexed="64"/>
          <bgColor theme="9" tint="0.59999389629810485"/>
        </patternFill>
      </fill>
    </dxf>
    <dxf>
      <font>
        <color auto="1"/>
      </font>
      <fill>
        <patternFill patternType="solid">
          <fgColor indexed="64"/>
          <bgColor theme="9" tint="0.59999389629810485"/>
        </patternFill>
      </fill>
    </dxf>
    <dxf>
      <font>
        <color auto="1"/>
      </font>
      <fill>
        <patternFill patternType="solid">
          <fgColor indexed="64"/>
          <bgColor theme="9" tint="0.59999389629810485"/>
        </patternFill>
      </fill>
    </dxf>
    <dxf>
      <font>
        <color auto="1"/>
      </font>
      <fill>
        <patternFill patternType="solid">
          <fgColor indexed="64"/>
          <bgColor theme="9" tint="0.59999389629810485"/>
        </patternFill>
      </fill>
    </dxf>
    <dxf>
      <font>
        <color auto="1"/>
      </font>
      <fill>
        <patternFill patternType="solid">
          <fgColor indexed="64"/>
          <bgColor theme="9" tint="0.59999389629810485"/>
        </patternFill>
      </fill>
    </dxf>
    <dxf>
      <fill>
        <patternFill>
          <bgColor rgb="FFCCECFF"/>
        </patternFill>
      </fill>
    </dxf>
    <dxf>
      <fill>
        <patternFill>
          <bgColor rgb="FFBFDFED"/>
        </patternFill>
      </fill>
    </dxf>
    <dxf>
      <fill>
        <patternFill>
          <bgColor theme="5"/>
        </patternFill>
      </fill>
    </dxf>
  </dxfs>
  <tableStyles count="1" defaultTableStyle="TableStyleMedium2" defaultPivotStyle="PivotStyleLight16">
    <tableStyle name="Table Style 2"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huong%20trinh%20Muc%20tieu%20QG/Vietnam%20Energy%20Statistics/Year%202019/Tinh%20toan%20Nien%20giam%20Bang%20CBNL%202019%20ver%203.0%20(GS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a790abe170cf7897/IE%20works/33_DATA/Thong%20ke%20nang%20luong/2021/Copy%20Data_energy_2021%20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guage"/>
      <sheetName val="Conversion"/>
      <sheetName val="Data Series"/>
      <sheetName val="2014"/>
      <sheetName val="2015"/>
      <sheetName val="2016"/>
      <sheetName val="2017"/>
      <sheetName val="2018"/>
      <sheetName val="Indicators"/>
      <sheetName val="IIP Nghi Son"/>
      <sheetName val="Số Hải Quan (2)"/>
      <sheetName val="Data source"/>
      <sheetName val="Hoi EVN"/>
      <sheetName val="Hoi TKV"/>
      <sheetName val="Hoi PVN"/>
      <sheetName val="Sheet1"/>
      <sheetName val="Sheet3"/>
      <sheetName val="ton kho chenh lech"/>
    </sheetNames>
    <sheetDataSet>
      <sheetData sheetId="0"/>
      <sheetData sheetId="1">
        <row r="10">
          <cell r="C10">
            <v>0.99885299177977438</v>
          </cell>
        </row>
        <row r="11">
          <cell r="C11">
            <v>1.0069776333397056</v>
          </cell>
        </row>
      </sheetData>
      <sheetData sheetId="2">
        <row r="271">
          <cell r="G271">
            <v>-31.5</v>
          </cell>
        </row>
      </sheetData>
      <sheetData sheetId="3"/>
      <sheetData sheetId="4">
        <row r="12">
          <cell r="P12">
            <v>-28.5</v>
          </cell>
        </row>
      </sheetData>
      <sheetData sheetId="5">
        <row r="16">
          <cell r="O16">
            <v>7975</v>
          </cell>
        </row>
      </sheetData>
      <sheetData sheetId="6"/>
      <sheetData sheetId="7">
        <row r="54">
          <cell r="V54">
            <v>33578.923673575926</v>
          </cell>
        </row>
      </sheetData>
      <sheetData sheetId="8">
        <row r="5">
          <cell r="E5">
            <v>71426.647724648181</v>
          </cell>
        </row>
      </sheetData>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industrial1"/>
      <sheetName val="Price2"/>
      <sheetName val="International 2021"/>
      <sheetName val="Coal for Power generation"/>
      <sheetName val="Language"/>
      <sheetName val="TMDV"/>
      <sheetName val="Phân ngành Tieu thu dien"/>
      <sheetName val="Tieu thu dien IEA"/>
      <sheetName val="Biomass"/>
      <sheetName val="Tiem nang"/>
      <sheetName val="KT-XH"/>
      <sheetName val="Biomass 2"/>
      <sheetName val="Print"/>
      <sheetName val="Power"/>
      <sheetName val="Data"/>
      <sheetName val="2006"/>
      <sheetName val="2007"/>
      <sheetName val="2008"/>
      <sheetName val="2009"/>
      <sheetName val="2010"/>
      <sheetName val="P1-FEC"/>
      <sheetName val="2011"/>
      <sheetName val="2012"/>
      <sheetName val="2013"/>
      <sheetName val="2014"/>
      <sheetName val="2015"/>
      <sheetName val="Sub-industrial"/>
      <sheetName val="2018"/>
      <sheetName val="Coal-Oil"/>
      <sheetName val="Demand Side"/>
      <sheetName val="Transport"/>
      <sheetName val="2015 (temp)"/>
      <sheetName val="2016"/>
      <sheetName val="2017"/>
      <sheetName val="2019"/>
      <sheetName val="Indicators -BIO"/>
      <sheetName val="2020"/>
      <sheetName val="2021"/>
      <sheetName val="Indicators"/>
      <sheetName val="Conversion"/>
      <sheetName val="Source"/>
      <sheetName val="Phân loại dữ liệu"/>
      <sheetName val="VIMCC"/>
      <sheetName val="ANNL"/>
      <sheetName val="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row r="2">
          <cell r="D2">
            <v>0.56000000000000005</v>
          </cell>
        </row>
        <row r="7">
          <cell r="D7">
            <v>1.02</v>
          </cell>
        </row>
        <row r="8">
          <cell r="D8">
            <v>1.05</v>
          </cell>
        </row>
        <row r="9">
          <cell r="D9">
            <v>1.03</v>
          </cell>
        </row>
        <row r="10">
          <cell r="D10">
            <v>1.03</v>
          </cell>
        </row>
        <row r="11">
          <cell r="D11">
            <v>1.02</v>
          </cell>
        </row>
        <row r="12">
          <cell r="D12">
            <v>0.99</v>
          </cell>
        </row>
        <row r="13">
          <cell r="D13">
            <v>1.0900000000000001</v>
          </cell>
        </row>
        <row r="19">
          <cell r="D19">
            <v>0.9</v>
          </cell>
        </row>
        <row r="21">
          <cell r="D21">
            <v>8.5999999999999993E-2</v>
          </cell>
        </row>
      </sheetData>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B1:K22"/>
  <sheetViews>
    <sheetView showWhiteSpace="0" zoomScaleNormal="100" workbookViewId="0">
      <selection activeCell="N16" sqref="N16"/>
    </sheetView>
  </sheetViews>
  <sheetFormatPr defaultColWidth="9.140625" defaultRowHeight="15" x14ac:dyDescent="0.25"/>
  <cols>
    <col min="1" max="1" width="3.140625" style="16" customWidth="1"/>
    <col min="2" max="9" width="9.140625" style="16"/>
    <col min="10" max="10" width="9.140625" style="16" customWidth="1"/>
    <col min="11" max="16384" width="9.140625" style="16"/>
  </cols>
  <sheetData>
    <row r="1" spans="2:11" ht="54" customHeight="1" x14ac:dyDescent="0.25">
      <c r="B1" s="141" t="s">
        <v>147</v>
      </c>
      <c r="C1" s="142"/>
      <c r="D1" s="142"/>
      <c r="E1" s="142"/>
      <c r="F1" s="142"/>
      <c r="G1" s="142"/>
      <c r="H1" s="142"/>
      <c r="I1" s="142"/>
      <c r="J1" s="143"/>
      <c r="K1" s="17"/>
    </row>
    <row r="2" spans="2:11" ht="8.25" customHeight="1" x14ac:dyDescent="0.25">
      <c r="B2" s="144"/>
      <c r="C2" s="145"/>
      <c r="D2" s="145"/>
      <c r="E2" s="145"/>
      <c r="F2" s="145"/>
      <c r="G2" s="145"/>
      <c r="H2" s="145"/>
      <c r="I2" s="145"/>
      <c r="J2" s="146"/>
      <c r="K2" s="18"/>
    </row>
    <row r="3" spans="2:11" s="19" customFormat="1" ht="23.25" customHeight="1" x14ac:dyDescent="0.25">
      <c r="B3" s="138" t="s">
        <v>32</v>
      </c>
      <c r="C3" s="139"/>
      <c r="D3" s="139"/>
      <c r="E3" s="139"/>
      <c r="F3" s="139"/>
      <c r="G3" s="139"/>
      <c r="H3" s="139"/>
      <c r="I3" s="139"/>
      <c r="J3" s="140"/>
    </row>
    <row r="4" spans="2:11" s="19" customFormat="1" ht="23.25" customHeight="1" x14ac:dyDescent="0.25">
      <c r="B4" s="138" t="s">
        <v>51</v>
      </c>
      <c r="C4" s="139"/>
      <c r="D4" s="139"/>
      <c r="E4" s="139"/>
      <c r="F4" s="139"/>
      <c r="G4" s="139"/>
      <c r="H4" s="139"/>
      <c r="I4" s="139"/>
      <c r="J4" s="140"/>
    </row>
    <row r="5" spans="2:11" s="19" customFormat="1" ht="23.25" customHeight="1" x14ac:dyDescent="0.25">
      <c r="B5" s="138" t="s">
        <v>28</v>
      </c>
      <c r="C5" s="139"/>
      <c r="D5" s="139"/>
      <c r="E5" s="139"/>
      <c r="F5" s="139"/>
      <c r="G5" s="139"/>
      <c r="H5" s="139"/>
      <c r="I5" s="139"/>
      <c r="J5" s="140"/>
    </row>
    <row r="6" spans="2:11" s="19" customFormat="1" ht="23.25" customHeight="1" x14ac:dyDescent="0.25">
      <c r="B6" s="138" t="s">
        <v>29</v>
      </c>
      <c r="C6" s="139"/>
      <c r="D6" s="139"/>
      <c r="E6" s="139"/>
      <c r="F6" s="139"/>
      <c r="G6" s="139"/>
      <c r="H6" s="139"/>
      <c r="I6" s="139"/>
      <c r="J6" s="140"/>
    </row>
    <row r="7" spans="2:11" ht="24" customHeight="1" x14ac:dyDescent="0.25">
      <c r="B7" s="147" t="s">
        <v>56</v>
      </c>
      <c r="C7" s="148"/>
      <c r="D7" s="148"/>
      <c r="E7" s="148"/>
      <c r="F7" s="148"/>
      <c r="G7" s="148"/>
      <c r="H7" s="148"/>
      <c r="I7" s="148"/>
      <c r="J7" s="149"/>
    </row>
    <row r="8" spans="2:11" s="19" customFormat="1" ht="23.25" customHeight="1" x14ac:dyDescent="0.25">
      <c r="B8" s="150" t="s">
        <v>57</v>
      </c>
      <c r="C8" s="139"/>
      <c r="D8" s="139"/>
      <c r="E8" s="139"/>
      <c r="F8" s="139"/>
      <c r="G8" s="139"/>
      <c r="H8" s="139"/>
      <c r="I8" s="139"/>
      <c r="J8" s="140"/>
    </row>
    <row r="9" spans="2:11" s="19" customFormat="1" ht="23.25" customHeight="1" x14ac:dyDescent="0.25">
      <c r="B9" s="138" t="s">
        <v>30</v>
      </c>
      <c r="C9" s="139"/>
      <c r="D9" s="139"/>
      <c r="E9" s="139"/>
      <c r="F9" s="139"/>
      <c r="G9" s="139"/>
      <c r="H9" s="139"/>
      <c r="I9" s="139"/>
      <c r="J9" s="140"/>
    </row>
    <row r="10" spans="2:11" s="19" customFormat="1" ht="23.25" customHeight="1" x14ac:dyDescent="0.25">
      <c r="B10" s="138" t="s">
        <v>31</v>
      </c>
      <c r="C10" s="139"/>
      <c r="D10" s="139"/>
      <c r="E10" s="139"/>
      <c r="F10" s="139"/>
      <c r="G10" s="139"/>
      <c r="H10" s="139"/>
      <c r="I10" s="139"/>
      <c r="J10" s="140"/>
    </row>
    <row r="11" spans="2:11" s="19" customFormat="1" ht="23.25" customHeight="1" x14ac:dyDescent="0.25">
      <c r="B11" s="138" t="s">
        <v>29</v>
      </c>
      <c r="C11" s="139"/>
      <c r="D11" s="139"/>
      <c r="E11" s="139"/>
      <c r="F11" s="139"/>
      <c r="G11" s="139"/>
      <c r="H11" s="139"/>
      <c r="I11" s="139"/>
      <c r="J11" s="140"/>
    </row>
    <row r="12" spans="2:11" s="19" customFormat="1" ht="23.25" customHeight="1" x14ac:dyDescent="0.25">
      <c r="B12" s="138" t="s">
        <v>27</v>
      </c>
      <c r="C12" s="139"/>
      <c r="D12" s="139"/>
      <c r="E12" s="139"/>
      <c r="F12" s="139"/>
      <c r="G12" s="139"/>
      <c r="H12" s="139"/>
      <c r="I12" s="139"/>
      <c r="J12" s="140"/>
    </row>
    <row r="13" spans="2:11" ht="24" customHeight="1" x14ac:dyDescent="0.25">
      <c r="B13" s="147" t="s">
        <v>26</v>
      </c>
      <c r="C13" s="148"/>
      <c r="D13" s="148"/>
      <c r="E13" s="148"/>
      <c r="F13" s="148"/>
      <c r="G13" s="148"/>
      <c r="H13" s="148"/>
      <c r="I13" s="148"/>
      <c r="J13" s="149"/>
    </row>
    <row r="14" spans="2:11" s="19" customFormat="1" ht="23.25" customHeight="1" x14ac:dyDescent="0.25">
      <c r="B14" s="138" t="s">
        <v>52</v>
      </c>
      <c r="C14" s="139"/>
      <c r="D14" s="139"/>
      <c r="E14" s="139"/>
      <c r="F14" s="139"/>
      <c r="G14" s="139"/>
      <c r="H14" s="139"/>
      <c r="I14" s="139"/>
      <c r="J14" s="140"/>
    </row>
    <row r="15" spans="2:11" s="19" customFormat="1" ht="23.25" customHeight="1" x14ac:dyDescent="0.25">
      <c r="B15" s="138" t="s">
        <v>53</v>
      </c>
      <c r="C15" s="139"/>
      <c r="D15" s="139"/>
      <c r="E15" s="139"/>
      <c r="F15" s="139"/>
      <c r="G15" s="139"/>
      <c r="H15" s="139"/>
      <c r="I15" s="139"/>
      <c r="J15" s="140"/>
    </row>
    <row r="16" spans="2:11" ht="24" customHeight="1" x14ac:dyDescent="0.25">
      <c r="B16" s="157" t="s">
        <v>55</v>
      </c>
      <c r="C16" s="158"/>
      <c r="D16" s="158"/>
      <c r="E16" s="158"/>
      <c r="F16" s="158"/>
      <c r="G16" s="158"/>
      <c r="H16" s="158"/>
      <c r="I16" s="158"/>
      <c r="J16" s="159"/>
    </row>
    <row r="17" spans="2:10" s="19" customFormat="1" ht="23.25" customHeight="1" x14ac:dyDescent="0.25">
      <c r="B17" s="151"/>
      <c r="C17" s="152"/>
      <c r="D17" s="152"/>
      <c r="E17" s="152"/>
      <c r="F17" s="152"/>
      <c r="G17" s="152"/>
      <c r="H17" s="152"/>
      <c r="I17" s="152"/>
      <c r="J17" s="153"/>
    </row>
    <row r="18" spans="2:10" s="19" customFormat="1" ht="23.25" customHeight="1" x14ac:dyDescent="0.25">
      <c r="B18" s="151"/>
      <c r="C18" s="152"/>
      <c r="D18" s="152"/>
      <c r="E18" s="152"/>
      <c r="F18" s="152"/>
      <c r="G18" s="152"/>
      <c r="H18" s="152"/>
      <c r="I18" s="152"/>
      <c r="J18" s="153"/>
    </row>
    <row r="19" spans="2:10" x14ac:dyDescent="0.25">
      <c r="B19" s="151"/>
      <c r="C19" s="152"/>
      <c r="D19" s="152"/>
      <c r="E19" s="152"/>
      <c r="F19" s="152"/>
      <c r="G19" s="152"/>
      <c r="H19" s="152"/>
      <c r="I19" s="152"/>
      <c r="J19" s="153"/>
    </row>
    <row r="20" spans="2:10" x14ac:dyDescent="0.25">
      <c r="B20" s="154"/>
      <c r="C20" s="155"/>
      <c r="D20" s="155"/>
      <c r="E20" s="155"/>
      <c r="F20" s="155"/>
      <c r="G20" s="155"/>
      <c r="H20" s="155"/>
      <c r="I20" s="155"/>
      <c r="J20" s="156"/>
    </row>
    <row r="21" spans="2:10" x14ac:dyDescent="0.25">
      <c r="B21" s="19"/>
      <c r="C21" s="19"/>
      <c r="D21" s="19"/>
      <c r="E21" s="19"/>
      <c r="F21" s="19"/>
      <c r="G21" s="19"/>
      <c r="H21" s="20"/>
      <c r="I21" s="19"/>
      <c r="J21" s="19"/>
    </row>
    <row r="22" spans="2:10" ht="21.75" customHeight="1" x14ac:dyDescent="0.25">
      <c r="G22" s="21"/>
    </row>
  </sheetData>
  <mergeCells count="16">
    <mergeCell ref="B17:J20"/>
    <mergeCell ref="B12:J12"/>
    <mergeCell ref="B13:J13"/>
    <mergeCell ref="B14:J14"/>
    <mergeCell ref="B15:J15"/>
    <mergeCell ref="B16:J16"/>
    <mergeCell ref="B7:J7"/>
    <mergeCell ref="B8:J8"/>
    <mergeCell ref="B9:J9"/>
    <mergeCell ref="B10:J10"/>
    <mergeCell ref="B11:J11"/>
    <mergeCell ref="B3:J3"/>
    <mergeCell ref="B4:J4"/>
    <mergeCell ref="B5:J5"/>
    <mergeCell ref="B6:J6"/>
    <mergeCell ref="B1:J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C27"/>
  <sheetViews>
    <sheetView workbookViewId="0">
      <selection activeCell="B19" sqref="B19"/>
    </sheetView>
  </sheetViews>
  <sheetFormatPr defaultColWidth="9.140625" defaultRowHeight="15.75" x14ac:dyDescent="0.25"/>
  <cols>
    <col min="1" max="1" width="12.42578125" style="29" bestFit="1" customWidth="1"/>
    <col min="2" max="2" width="60.140625" style="29" customWidth="1"/>
    <col min="3" max="3" width="37.85546875" style="29" customWidth="1"/>
    <col min="4" max="16384" width="9.140625" style="29"/>
  </cols>
  <sheetData>
    <row r="1" spans="1:3" ht="42" customHeight="1" x14ac:dyDescent="0.25">
      <c r="A1" s="160" t="s">
        <v>64</v>
      </c>
      <c r="B1" s="160"/>
      <c r="C1" s="160"/>
    </row>
    <row r="2" spans="1:3" s="32" customFormat="1" ht="29.25" customHeight="1" x14ac:dyDescent="0.25">
      <c r="A2" s="30" t="s">
        <v>58</v>
      </c>
      <c r="B2" s="31" t="s">
        <v>59</v>
      </c>
      <c r="C2" s="31" t="s">
        <v>25</v>
      </c>
    </row>
    <row r="3" spans="1:3" ht="31.5" x14ac:dyDescent="0.25">
      <c r="A3" s="33" t="s">
        <v>60</v>
      </c>
      <c r="B3" s="34" t="s">
        <v>79</v>
      </c>
      <c r="C3" s="34" t="s">
        <v>65</v>
      </c>
    </row>
    <row r="4" spans="1:3" x14ac:dyDescent="0.25">
      <c r="A4" s="33" t="s">
        <v>61</v>
      </c>
      <c r="B4" s="34" t="s">
        <v>80</v>
      </c>
      <c r="C4" s="34" t="s">
        <v>66</v>
      </c>
    </row>
    <row r="5" spans="1:3" ht="31.5" x14ac:dyDescent="0.25">
      <c r="A5" s="33" t="s">
        <v>62</v>
      </c>
      <c r="B5" s="34" t="s">
        <v>81</v>
      </c>
      <c r="C5" s="34" t="s">
        <v>67</v>
      </c>
    </row>
    <row r="6" spans="1:3" x14ac:dyDescent="0.25">
      <c r="A6" s="33" t="s">
        <v>63</v>
      </c>
      <c r="B6" s="34" t="s">
        <v>82</v>
      </c>
      <c r="C6" s="34" t="s">
        <v>68</v>
      </c>
    </row>
    <row r="7" spans="1:3" ht="31.5" x14ac:dyDescent="0.25">
      <c r="A7" s="33" t="s">
        <v>73</v>
      </c>
      <c r="B7" s="34" t="s">
        <v>189</v>
      </c>
      <c r="C7" s="34" t="s">
        <v>74</v>
      </c>
    </row>
    <row r="8" spans="1:3" x14ac:dyDescent="0.25">
      <c r="A8" s="33" t="s">
        <v>75</v>
      </c>
      <c r="B8" s="34" t="s">
        <v>83</v>
      </c>
      <c r="C8" s="34" t="s">
        <v>76</v>
      </c>
    </row>
    <row r="17" spans="2:3" x14ac:dyDescent="0.25">
      <c r="C17" s="45"/>
    </row>
    <row r="27" spans="2:3" x14ac:dyDescent="0.25">
      <c r="B27" s="45"/>
    </row>
  </sheetData>
  <mergeCells count="1">
    <mergeCell ref="A1:C1"/>
  </mergeCells>
  <conditionalFormatting sqref="A3:C3 B4 A4:A8 C4:C8">
    <cfRule type="expression" dxfId="4" priority="7">
      <formula>$E2="Y"</formula>
    </cfRule>
  </conditionalFormatting>
  <conditionalFormatting sqref="B5">
    <cfRule type="expression" dxfId="3" priority="1">
      <formula>#REF!="Y"</formula>
    </cfRule>
  </conditionalFormatting>
  <conditionalFormatting sqref="B6:B7">
    <cfRule type="expression" dxfId="2" priority="8">
      <formula>#REF!="Y"</formula>
    </cfRule>
  </conditionalFormatting>
  <conditionalFormatting sqref="B8">
    <cfRule type="expression" dxfId="1" priority="10">
      <formula>$E6="Y"</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B1:U30"/>
  <sheetViews>
    <sheetView zoomScale="70" zoomScaleNormal="70" workbookViewId="0">
      <pane ySplit="3" topLeftCell="A6" activePane="bottomLeft" state="frozen"/>
      <selection pane="bottomLeft" activeCell="C13" sqref="C13"/>
    </sheetView>
  </sheetViews>
  <sheetFormatPr defaultColWidth="9.140625" defaultRowHeight="15.75" x14ac:dyDescent="0.25"/>
  <cols>
    <col min="1" max="1" width="3.42578125" style="76" customWidth="1"/>
    <col min="2" max="2" width="6.140625" style="93" customWidth="1"/>
    <col min="3" max="3" width="26.42578125" style="76" customWidth="1"/>
    <col min="4" max="4" width="12" style="76" customWidth="1"/>
    <col min="5" max="5" width="12.42578125" style="93" customWidth="1"/>
    <col min="6" max="17" width="9.85546875" style="93" customWidth="1"/>
    <col min="18" max="18" width="14.42578125" style="93" customWidth="1"/>
    <col min="19" max="19" width="25.42578125" style="93" customWidth="1"/>
    <col min="20" max="20" width="30.140625" style="93" customWidth="1"/>
    <col min="21" max="21" width="24.5703125" style="93" customWidth="1"/>
    <col min="22" max="16384" width="9.140625" style="76"/>
  </cols>
  <sheetData>
    <row r="1" spans="2:21" ht="33" customHeight="1" x14ac:dyDescent="0.25">
      <c r="B1" s="161" t="s">
        <v>117</v>
      </c>
      <c r="C1" s="162"/>
      <c r="D1" s="162"/>
      <c r="E1" s="162"/>
      <c r="F1" s="162"/>
      <c r="G1" s="162"/>
      <c r="H1" s="162"/>
      <c r="I1" s="162"/>
      <c r="J1" s="162"/>
      <c r="K1" s="162"/>
      <c r="L1" s="162"/>
      <c r="M1" s="162"/>
      <c r="N1" s="162"/>
      <c r="O1" s="162"/>
      <c r="P1" s="162"/>
      <c r="Q1" s="162"/>
      <c r="R1" s="162"/>
      <c r="S1" s="162"/>
      <c r="T1" s="162"/>
      <c r="U1" s="163"/>
    </row>
    <row r="2" spans="2:21" s="79" customFormat="1" ht="42.6" customHeight="1" x14ac:dyDescent="0.25">
      <c r="B2" s="166" t="s">
        <v>16</v>
      </c>
      <c r="C2" s="167" t="s">
        <v>100</v>
      </c>
      <c r="D2" s="164" t="s">
        <v>195</v>
      </c>
      <c r="E2" s="167" t="s">
        <v>228</v>
      </c>
      <c r="F2" s="168" t="s">
        <v>101</v>
      </c>
      <c r="G2" s="169"/>
      <c r="H2" s="169"/>
      <c r="I2" s="169"/>
      <c r="J2" s="169"/>
      <c r="K2" s="169"/>
      <c r="L2" s="169"/>
      <c r="M2" s="169"/>
      <c r="N2" s="169"/>
      <c r="O2" s="169"/>
      <c r="P2" s="169"/>
      <c r="Q2" s="169"/>
      <c r="R2" s="170"/>
      <c r="S2" s="164" t="s">
        <v>229</v>
      </c>
      <c r="T2" s="164" t="s">
        <v>230</v>
      </c>
      <c r="U2" s="164" t="s">
        <v>196</v>
      </c>
    </row>
    <row r="3" spans="2:21" s="79" customFormat="1" ht="42.6" customHeight="1" x14ac:dyDescent="0.25">
      <c r="B3" s="166"/>
      <c r="C3" s="167"/>
      <c r="D3" s="165"/>
      <c r="E3" s="167"/>
      <c r="F3" s="78" t="s">
        <v>102</v>
      </c>
      <c r="G3" s="78" t="s">
        <v>103</v>
      </c>
      <c r="H3" s="78" t="s">
        <v>104</v>
      </c>
      <c r="I3" s="78" t="s">
        <v>105</v>
      </c>
      <c r="J3" s="78" t="s">
        <v>106</v>
      </c>
      <c r="K3" s="78" t="s">
        <v>107</v>
      </c>
      <c r="L3" s="78" t="s">
        <v>108</v>
      </c>
      <c r="M3" s="78" t="s">
        <v>109</v>
      </c>
      <c r="N3" s="78" t="s">
        <v>110</v>
      </c>
      <c r="O3" s="78" t="s">
        <v>111</v>
      </c>
      <c r="P3" s="78" t="s">
        <v>112</v>
      </c>
      <c r="Q3" s="78" t="s">
        <v>113</v>
      </c>
      <c r="R3" s="78" t="s">
        <v>20</v>
      </c>
      <c r="S3" s="165"/>
      <c r="T3" s="165"/>
      <c r="U3" s="165"/>
    </row>
    <row r="4" spans="2:21" x14ac:dyDescent="0.25">
      <c r="B4" s="80">
        <v>1</v>
      </c>
      <c r="C4" s="81" t="s">
        <v>198</v>
      </c>
      <c r="D4" s="81"/>
      <c r="E4" s="82"/>
      <c r="F4" s="80"/>
      <c r="G4" s="80"/>
      <c r="H4" s="80"/>
      <c r="I4" s="80"/>
      <c r="J4" s="80"/>
      <c r="K4" s="80"/>
      <c r="L4" s="80"/>
      <c r="M4" s="80"/>
      <c r="N4" s="80"/>
      <c r="O4" s="80"/>
      <c r="P4" s="80"/>
      <c r="Q4" s="80"/>
      <c r="R4" s="83"/>
      <c r="S4" s="84"/>
      <c r="T4" s="85"/>
      <c r="U4" s="85"/>
    </row>
    <row r="5" spans="2:21" x14ac:dyDescent="0.25">
      <c r="B5" s="80">
        <v>2</v>
      </c>
      <c r="C5" s="81" t="s">
        <v>5</v>
      </c>
      <c r="D5" s="81"/>
      <c r="E5" s="82"/>
      <c r="F5" s="80"/>
      <c r="G5" s="80"/>
      <c r="H5" s="80"/>
      <c r="I5" s="80"/>
      <c r="J5" s="80"/>
      <c r="K5" s="80"/>
      <c r="L5" s="80"/>
      <c r="M5" s="80"/>
      <c r="N5" s="80"/>
      <c r="O5" s="80"/>
      <c r="P5" s="80"/>
      <c r="Q5" s="80"/>
      <c r="R5" s="83"/>
      <c r="S5" s="80"/>
      <c r="T5" s="85"/>
      <c r="U5" s="85"/>
    </row>
    <row r="6" spans="2:21" x14ac:dyDescent="0.25">
      <c r="B6" s="80">
        <v>3</v>
      </c>
      <c r="C6" s="81" t="s">
        <v>12</v>
      </c>
      <c r="D6" s="81"/>
      <c r="E6" s="82"/>
      <c r="F6" s="80"/>
      <c r="G6" s="80"/>
      <c r="H6" s="80"/>
      <c r="I6" s="80"/>
      <c r="J6" s="80"/>
      <c r="K6" s="80"/>
      <c r="L6" s="80"/>
      <c r="M6" s="80"/>
      <c r="N6" s="80"/>
      <c r="O6" s="80"/>
      <c r="P6" s="80"/>
      <c r="Q6" s="80"/>
      <c r="R6" s="83"/>
      <c r="S6" s="80"/>
      <c r="T6" s="85"/>
      <c r="U6" s="85"/>
    </row>
    <row r="7" spans="2:21" x14ac:dyDescent="0.25">
      <c r="B7" s="80">
        <v>4</v>
      </c>
      <c r="C7" s="81" t="s">
        <v>18</v>
      </c>
      <c r="D7" s="81"/>
      <c r="E7" s="82"/>
      <c r="F7" s="80"/>
      <c r="G7" s="80"/>
      <c r="H7" s="80"/>
      <c r="I7" s="80"/>
      <c r="J7" s="80"/>
      <c r="K7" s="80"/>
      <c r="L7" s="80"/>
      <c r="M7" s="80"/>
      <c r="N7" s="80"/>
      <c r="O7" s="80"/>
      <c r="P7" s="80"/>
      <c r="Q7" s="80"/>
      <c r="R7" s="83"/>
      <c r="S7" s="80"/>
      <c r="T7" s="85"/>
      <c r="U7" s="85"/>
    </row>
    <row r="8" spans="2:21" s="87" customFormat="1" x14ac:dyDescent="0.25">
      <c r="B8" s="80">
        <v>5</v>
      </c>
      <c r="C8" s="81" t="s">
        <v>6</v>
      </c>
      <c r="D8" s="81"/>
      <c r="E8" s="82"/>
      <c r="F8" s="80"/>
      <c r="G8" s="80"/>
      <c r="H8" s="80"/>
      <c r="I8" s="80"/>
      <c r="J8" s="80"/>
      <c r="K8" s="80"/>
      <c r="L8" s="80"/>
      <c r="M8" s="80"/>
      <c r="N8" s="80"/>
      <c r="O8" s="80"/>
      <c r="P8" s="80"/>
      <c r="Q8" s="80"/>
      <c r="R8" s="86"/>
      <c r="S8" s="80"/>
      <c r="T8" s="85"/>
      <c r="U8" s="85"/>
    </row>
    <row r="9" spans="2:21" s="87" customFormat="1" x14ac:dyDescent="0.25">
      <c r="B9" s="80">
        <v>6</v>
      </c>
      <c r="C9" s="81" t="s">
        <v>7</v>
      </c>
      <c r="D9" s="81"/>
      <c r="E9" s="82"/>
      <c r="F9" s="80"/>
      <c r="G9" s="80"/>
      <c r="H9" s="80"/>
      <c r="I9" s="80"/>
      <c r="J9" s="80"/>
      <c r="K9" s="80"/>
      <c r="L9" s="88"/>
      <c r="M9" s="88"/>
      <c r="N9" s="88"/>
      <c r="O9" s="88"/>
      <c r="P9" s="80"/>
      <c r="Q9" s="80"/>
      <c r="R9" s="86"/>
      <c r="S9" s="80"/>
      <c r="T9" s="89"/>
      <c r="U9" s="89"/>
    </row>
    <row r="10" spans="2:21" s="87" customFormat="1" x14ac:dyDescent="0.25">
      <c r="B10" s="80">
        <v>7</v>
      </c>
      <c r="C10" s="81" t="s">
        <v>54</v>
      </c>
      <c r="D10" s="81"/>
      <c r="E10" s="82"/>
      <c r="F10" s="80"/>
      <c r="G10" s="80"/>
      <c r="H10" s="80"/>
      <c r="I10" s="80"/>
      <c r="J10" s="80"/>
      <c r="K10" s="80"/>
      <c r="L10" s="80"/>
      <c r="M10" s="80"/>
      <c r="N10" s="80"/>
      <c r="O10" s="80"/>
      <c r="P10" s="80"/>
      <c r="Q10" s="80"/>
      <c r="R10" s="86"/>
      <c r="S10" s="80"/>
      <c r="T10" s="85"/>
      <c r="U10" s="85"/>
    </row>
    <row r="11" spans="2:21" s="87" customFormat="1" x14ac:dyDescent="0.25">
      <c r="B11" s="80">
        <v>8</v>
      </c>
      <c r="C11" s="81" t="s">
        <v>114</v>
      </c>
      <c r="D11" s="81"/>
      <c r="E11" s="82"/>
      <c r="F11" s="80"/>
      <c r="G11" s="80"/>
      <c r="H11" s="80"/>
      <c r="I11" s="80"/>
      <c r="J11" s="80"/>
      <c r="K11" s="80"/>
      <c r="L11" s="80"/>
      <c r="M11" s="80"/>
      <c r="N11" s="80"/>
      <c r="O11" s="80"/>
      <c r="P11" s="80"/>
      <c r="Q11" s="80"/>
      <c r="R11" s="86"/>
      <c r="S11" s="80"/>
      <c r="T11" s="85"/>
      <c r="U11" s="85"/>
    </row>
    <row r="12" spans="2:21" s="87" customFormat="1" x14ac:dyDescent="0.25">
      <c r="B12" s="80">
        <v>9</v>
      </c>
      <c r="C12" s="81" t="s">
        <v>13</v>
      </c>
      <c r="D12" s="81"/>
      <c r="E12" s="82"/>
      <c r="F12" s="80"/>
      <c r="G12" s="80"/>
      <c r="H12" s="80"/>
      <c r="I12" s="80"/>
      <c r="J12" s="80"/>
      <c r="K12" s="80"/>
      <c r="L12" s="80"/>
      <c r="M12" s="80"/>
      <c r="N12" s="80"/>
      <c r="O12" s="80"/>
      <c r="P12" s="80"/>
      <c r="Q12" s="80"/>
      <c r="R12" s="86"/>
      <c r="S12" s="80"/>
      <c r="T12" s="85"/>
      <c r="U12" s="85"/>
    </row>
    <row r="13" spans="2:21" s="87" customFormat="1" x14ac:dyDescent="0.25">
      <c r="B13" s="80">
        <v>10</v>
      </c>
      <c r="C13" s="81" t="s">
        <v>8</v>
      </c>
      <c r="D13" s="81"/>
      <c r="E13" s="82"/>
      <c r="F13" s="80"/>
      <c r="G13" s="80"/>
      <c r="H13" s="80"/>
      <c r="I13" s="80"/>
      <c r="J13" s="80"/>
      <c r="K13" s="80"/>
      <c r="L13" s="80"/>
      <c r="M13" s="80"/>
      <c r="N13" s="80"/>
      <c r="O13" s="80"/>
      <c r="P13" s="80"/>
      <c r="Q13" s="80"/>
      <c r="R13" s="86"/>
      <c r="S13" s="80"/>
      <c r="T13" s="85"/>
      <c r="U13" s="85"/>
    </row>
    <row r="14" spans="2:21" ht="31.5" x14ac:dyDescent="0.25">
      <c r="B14" s="80">
        <v>11</v>
      </c>
      <c r="C14" s="81" t="s">
        <v>14</v>
      </c>
      <c r="D14" s="81"/>
      <c r="E14" s="82"/>
      <c r="F14" s="80"/>
      <c r="G14" s="80"/>
      <c r="H14" s="80"/>
      <c r="I14" s="80"/>
      <c r="J14" s="80"/>
      <c r="K14" s="80"/>
      <c r="L14" s="80"/>
      <c r="M14" s="80"/>
      <c r="N14" s="80"/>
      <c r="O14" s="80"/>
      <c r="P14" s="80"/>
      <c r="Q14" s="80"/>
      <c r="R14" s="90"/>
      <c r="S14" s="80"/>
      <c r="T14" s="85"/>
      <c r="U14" s="85"/>
    </row>
    <row r="15" spans="2:21" x14ac:dyDescent="0.25">
      <c r="B15" s="80">
        <v>12</v>
      </c>
      <c r="C15" s="81" t="s">
        <v>9</v>
      </c>
      <c r="D15" s="81"/>
      <c r="E15" s="82"/>
      <c r="F15" s="80"/>
      <c r="G15" s="80"/>
      <c r="H15" s="80"/>
      <c r="I15" s="80"/>
      <c r="J15" s="80"/>
      <c r="K15" s="80"/>
      <c r="L15" s="80"/>
      <c r="M15" s="80"/>
      <c r="N15" s="80"/>
      <c r="O15" s="80"/>
      <c r="P15" s="80"/>
      <c r="Q15" s="80"/>
      <c r="R15" s="90"/>
      <c r="S15" s="80"/>
      <c r="T15" s="85"/>
      <c r="U15" s="85"/>
    </row>
    <row r="16" spans="2:21" ht="31.5" x14ac:dyDescent="0.25">
      <c r="B16" s="80">
        <v>13</v>
      </c>
      <c r="C16" s="81" t="s">
        <v>10</v>
      </c>
      <c r="D16" s="81"/>
      <c r="E16" s="82"/>
      <c r="F16" s="80"/>
      <c r="G16" s="80"/>
      <c r="H16" s="80"/>
      <c r="I16" s="80"/>
      <c r="J16" s="80"/>
      <c r="K16" s="80"/>
      <c r="L16" s="80"/>
      <c r="M16" s="80"/>
      <c r="N16" s="80"/>
      <c r="O16" s="80"/>
      <c r="P16" s="80"/>
      <c r="Q16" s="80"/>
      <c r="R16" s="90"/>
      <c r="S16" s="80"/>
      <c r="T16" s="85"/>
      <c r="U16" s="85"/>
    </row>
    <row r="17" spans="2:21" ht="31.5" x14ac:dyDescent="0.25">
      <c r="B17" s="80">
        <v>14</v>
      </c>
      <c r="C17" s="81" t="s">
        <v>17</v>
      </c>
      <c r="D17" s="81"/>
      <c r="E17" s="91"/>
      <c r="F17" s="80"/>
      <c r="G17" s="80"/>
      <c r="H17" s="80"/>
      <c r="I17" s="80"/>
      <c r="J17" s="80"/>
      <c r="K17" s="80"/>
      <c r="L17" s="80"/>
      <c r="M17" s="80"/>
      <c r="N17" s="80"/>
      <c r="O17" s="80"/>
      <c r="P17" s="80"/>
      <c r="Q17" s="80"/>
      <c r="R17" s="90"/>
      <c r="S17" s="84"/>
      <c r="T17" s="85"/>
      <c r="U17" s="85"/>
    </row>
    <row r="18" spans="2:21" x14ac:dyDescent="0.25">
      <c r="B18" s="80">
        <v>15</v>
      </c>
      <c r="C18" s="81" t="s">
        <v>11</v>
      </c>
      <c r="D18" s="81"/>
      <c r="E18" s="82"/>
      <c r="F18" s="80"/>
      <c r="G18" s="80"/>
      <c r="H18" s="80"/>
      <c r="I18" s="80"/>
      <c r="J18" s="80"/>
      <c r="K18" s="80"/>
      <c r="L18" s="80"/>
      <c r="M18" s="80"/>
      <c r="N18" s="80"/>
      <c r="O18" s="80"/>
      <c r="P18" s="80"/>
      <c r="Q18" s="80"/>
      <c r="R18" s="90"/>
      <c r="S18" s="80"/>
      <c r="T18" s="85"/>
      <c r="U18" s="85"/>
    </row>
    <row r="19" spans="2:21" x14ac:dyDescent="0.25">
      <c r="B19" s="80">
        <v>16</v>
      </c>
      <c r="C19" s="81" t="s">
        <v>2</v>
      </c>
      <c r="D19" s="81"/>
      <c r="E19" s="82"/>
      <c r="F19" s="80"/>
      <c r="G19" s="80"/>
      <c r="H19" s="80"/>
      <c r="I19" s="80"/>
      <c r="J19" s="80"/>
      <c r="K19" s="80"/>
      <c r="L19" s="80"/>
      <c r="M19" s="80"/>
      <c r="N19" s="80"/>
      <c r="O19" s="80"/>
      <c r="P19" s="80"/>
      <c r="Q19" s="80"/>
      <c r="R19" s="90"/>
      <c r="S19" s="80"/>
      <c r="T19" s="85"/>
      <c r="U19" s="85"/>
    </row>
    <row r="20" spans="2:21" x14ac:dyDescent="0.25">
      <c r="B20" s="80">
        <v>17</v>
      </c>
      <c r="C20" s="81" t="s">
        <v>15</v>
      </c>
      <c r="D20" s="81"/>
      <c r="E20" s="82"/>
      <c r="F20" s="80"/>
      <c r="G20" s="80"/>
      <c r="H20" s="80"/>
      <c r="I20" s="80"/>
      <c r="J20" s="80"/>
      <c r="K20" s="80"/>
      <c r="L20" s="80"/>
      <c r="M20" s="80"/>
      <c r="N20" s="80"/>
      <c r="O20" s="80"/>
      <c r="P20" s="80"/>
      <c r="Q20" s="80"/>
      <c r="R20" s="90"/>
      <c r="S20" s="80"/>
      <c r="T20" s="85"/>
      <c r="U20" s="85"/>
    </row>
    <row r="21" spans="2:21" x14ac:dyDescent="0.25">
      <c r="B21" s="80">
        <v>18</v>
      </c>
      <c r="C21" s="81" t="s">
        <v>0</v>
      </c>
      <c r="D21" s="81"/>
      <c r="E21" s="82"/>
      <c r="F21" s="80"/>
      <c r="G21" s="80"/>
      <c r="H21" s="80"/>
      <c r="I21" s="80"/>
      <c r="J21" s="80"/>
      <c r="K21" s="80"/>
      <c r="L21" s="80"/>
      <c r="M21" s="80"/>
      <c r="N21" s="80"/>
      <c r="O21" s="80"/>
      <c r="P21" s="80"/>
      <c r="Q21" s="80"/>
      <c r="R21" s="90"/>
      <c r="S21" s="80"/>
      <c r="T21" s="85"/>
      <c r="U21" s="85"/>
    </row>
    <row r="22" spans="2:21" x14ac:dyDescent="0.25">
      <c r="B22" s="80">
        <v>19</v>
      </c>
      <c r="C22" s="81" t="s">
        <v>1</v>
      </c>
      <c r="D22" s="81"/>
      <c r="E22" s="82"/>
      <c r="F22" s="80"/>
      <c r="G22" s="80"/>
      <c r="H22" s="80"/>
      <c r="I22" s="80"/>
      <c r="J22" s="80"/>
      <c r="K22" s="80"/>
      <c r="L22" s="80"/>
      <c r="M22" s="80"/>
      <c r="N22" s="80"/>
      <c r="O22" s="80"/>
      <c r="P22" s="80"/>
      <c r="Q22" s="80"/>
      <c r="R22" s="90"/>
      <c r="S22" s="80"/>
      <c r="T22" s="85"/>
      <c r="U22" s="85"/>
    </row>
    <row r="23" spans="2:21" ht="31.5" x14ac:dyDescent="0.25">
      <c r="B23" s="80">
        <v>20</v>
      </c>
      <c r="C23" s="81" t="s">
        <v>19</v>
      </c>
      <c r="D23" s="81"/>
      <c r="E23" s="82"/>
      <c r="F23" s="80"/>
      <c r="G23" s="80"/>
      <c r="H23" s="80"/>
      <c r="I23" s="80"/>
      <c r="J23" s="80"/>
      <c r="K23" s="80"/>
      <c r="L23" s="80"/>
      <c r="M23" s="80"/>
      <c r="N23" s="80"/>
      <c r="O23" s="80"/>
      <c r="P23" s="80"/>
      <c r="Q23" s="80"/>
      <c r="R23" s="90"/>
      <c r="S23" s="80"/>
      <c r="T23" s="85"/>
      <c r="U23" s="85"/>
    </row>
    <row r="24" spans="2:21" ht="31.5" x14ac:dyDescent="0.25">
      <c r="B24" s="80">
        <v>21</v>
      </c>
      <c r="C24" s="81" t="s">
        <v>49</v>
      </c>
      <c r="D24" s="81"/>
      <c r="E24" s="82"/>
      <c r="F24" s="80"/>
      <c r="G24" s="80"/>
      <c r="H24" s="80"/>
      <c r="I24" s="80"/>
      <c r="J24" s="80"/>
      <c r="K24" s="80"/>
      <c r="L24" s="80"/>
      <c r="M24" s="80"/>
      <c r="N24" s="80"/>
      <c r="O24" s="80"/>
      <c r="P24" s="80"/>
      <c r="Q24" s="80"/>
      <c r="R24" s="90"/>
      <c r="S24" s="80"/>
      <c r="T24" s="85"/>
      <c r="U24" s="85"/>
    </row>
    <row r="25" spans="2:21" ht="31.5" x14ac:dyDescent="0.25">
      <c r="B25" s="80">
        <v>22</v>
      </c>
      <c r="C25" s="81" t="s">
        <v>50</v>
      </c>
      <c r="D25" s="81"/>
      <c r="E25" s="82"/>
      <c r="F25" s="80"/>
      <c r="G25" s="80"/>
      <c r="H25" s="80"/>
      <c r="I25" s="80"/>
      <c r="J25" s="80"/>
      <c r="K25" s="80"/>
      <c r="L25" s="80"/>
      <c r="M25" s="80"/>
      <c r="N25" s="80"/>
      <c r="O25" s="80"/>
      <c r="P25" s="80"/>
      <c r="Q25" s="80"/>
      <c r="R25" s="90"/>
      <c r="S25" s="80"/>
      <c r="T25" s="85"/>
      <c r="U25" s="85"/>
    </row>
    <row r="26" spans="2:21" x14ac:dyDescent="0.25">
      <c r="B26" s="80">
        <v>23</v>
      </c>
      <c r="C26" s="84" t="s">
        <v>48</v>
      </c>
      <c r="D26" s="84"/>
      <c r="E26" s="82"/>
      <c r="F26" s="80"/>
      <c r="G26" s="80"/>
      <c r="H26" s="80"/>
      <c r="I26" s="80"/>
      <c r="J26" s="80"/>
      <c r="K26" s="80"/>
      <c r="L26" s="80"/>
      <c r="M26" s="80"/>
      <c r="N26" s="80"/>
      <c r="O26" s="80"/>
      <c r="P26" s="80"/>
      <c r="Q26" s="80"/>
      <c r="R26" s="90"/>
      <c r="S26" s="80"/>
      <c r="T26" s="85"/>
      <c r="U26" s="85"/>
    </row>
    <row r="28" spans="2:21" ht="21" customHeight="1" x14ac:dyDescent="0.25">
      <c r="B28" s="92" t="s">
        <v>21</v>
      </c>
    </row>
    <row r="29" spans="2:21" x14ac:dyDescent="0.25">
      <c r="B29" s="94" t="s">
        <v>132</v>
      </c>
    </row>
    <row r="30" spans="2:21" x14ac:dyDescent="0.25">
      <c r="B30" s="94" t="s">
        <v>115</v>
      </c>
      <c r="C30" s="95"/>
      <c r="D30" s="95"/>
    </row>
  </sheetData>
  <mergeCells count="9">
    <mergeCell ref="B1:U1"/>
    <mergeCell ref="D2:D3"/>
    <mergeCell ref="U2:U3"/>
    <mergeCell ref="S2:S3"/>
    <mergeCell ref="T2:T3"/>
    <mergeCell ref="B2:B3"/>
    <mergeCell ref="C2:C3"/>
    <mergeCell ref="E2:E3"/>
    <mergeCell ref="F2:R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B1:W25"/>
  <sheetViews>
    <sheetView zoomScale="60" zoomScaleNormal="90" workbookViewId="0">
      <pane ySplit="3" topLeftCell="A4" activePane="bottomLeft" state="frozen"/>
      <selection pane="bottomLeft" activeCell="C14" sqref="C14"/>
    </sheetView>
  </sheetViews>
  <sheetFormatPr defaultColWidth="9.140625" defaultRowHeight="15.75" x14ac:dyDescent="0.25"/>
  <cols>
    <col min="1" max="1" width="3.42578125" style="76" customWidth="1"/>
    <col min="2" max="2" width="7" style="93" customWidth="1"/>
    <col min="3" max="3" width="15.85546875" style="98" bestFit="1" customWidth="1"/>
    <col min="4" max="4" width="13" style="76" customWidth="1"/>
    <col min="5" max="5" width="12.5703125" style="93" customWidth="1"/>
    <col min="6" max="17" width="9.85546875" style="93" customWidth="1"/>
    <col min="18" max="18" width="14.42578125" style="93" customWidth="1"/>
    <col min="19" max="19" width="21" style="93" bestFit="1" customWidth="1"/>
    <col min="20" max="20" width="17.5703125" style="93" bestFit="1" customWidth="1"/>
    <col min="21" max="21" width="23.140625" style="93" customWidth="1"/>
    <col min="22" max="22" width="16.5703125" style="93" customWidth="1"/>
    <col min="23" max="23" width="17.85546875" style="76" customWidth="1"/>
    <col min="24" max="16384" width="9.140625" style="76"/>
  </cols>
  <sheetData>
    <row r="1" spans="2:23" ht="33" customHeight="1" x14ac:dyDescent="0.25">
      <c r="B1" s="171" t="s">
        <v>119</v>
      </c>
      <c r="C1" s="172"/>
      <c r="D1" s="172"/>
      <c r="E1" s="172"/>
      <c r="F1" s="172"/>
      <c r="G1" s="172"/>
      <c r="H1" s="172"/>
      <c r="I1" s="172"/>
      <c r="J1" s="172"/>
      <c r="K1" s="172"/>
      <c r="L1" s="172"/>
      <c r="M1" s="172"/>
      <c r="N1" s="172"/>
      <c r="O1" s="172"/>
      <c r="P1" s="172"/>
      <c r="Q1" s="172"/>
      <c r="R1" s="172"/>
      <c r="S1" s="172"/>
      <c r="T1" s="172"/>
      <c r="U1" s="172"/>
      <c r="V1" s="172"/>
      <c r="W1" s="173"/>
    </row>
    <row r="2" spans="2:23" s="79" customFormat="1" ht="38.25" customHeight="1" x14ac:dyDescent="0.25">
      <c r="B2" s="166" t="s">
        <v>16</v>
      </c>
      <c r="C2" s="167" t="s">
        <v>100</v>
      </c>
      <c r="D2" s="164" t="s">
        <v>195</v>
      </c>
      <c r="E2" s="167" t="s">
        <v>228</v>
      </c>
      <c r="F2" s="168" t="s">
        <v>101</v>
      </c>
      <c r="G2" s="169"/>
      <c r="H2" s="169"/>
      <c r="I2" s="169"/>
      <c r="J2" s="169"/>
      <c r="K2" s="169"/>
      <c r="L2" s="169"/>
      <c r="M2" s="169"/>
      <c r="N2" s="169"/>
      <c r="O2" s="169"/>
      <c r="P2" s="169"/>
      <c r="Q2" s="169"/>
      <c r="R2" s="170"/>
      <c r="S2" s="164" t="s">
        <v>229</v>
      </c>
      <c r="T2" s="164" t="s">
        <v>231</v>
      </c>
      <c r="U2" s="164" t="s">
        <v>232</v>
      </c>
      <c r="V2" s="164" t="s">
        <v>233</v>
      </c>
      <c r="W2" s="164" t="s">
        <v>196</v>
      </c>
    </row>
    <row r="3" spans="2:23" s="79" customFormat="1" ht="29.25" customHeight="1" x14ac:dyDescent="0.25">
      <c r="B3" s="166"/>
      <c r="C3" s="167"/>
      <c r="D3" s="165"/>
      <c r="E3" s="167"/>
      <c r="F3" s="78" t="s">
        <v>102</v>
      </c>
      <c r="G3" s="78" t="s">
        <v>103</v>
      </c>
      <c r="H3" s="78" t="s">
        <v>104</v>
      </c>
      <c r="I3" s="78" t="s">
        <v>105</v>
      </c>
      <c r="J3" s="78" t="s">
        <v>106</v>
      </c>
      <c r="K3" s="78" t="s">
        <v>107</v>
      </c>
      <c r="L3" s="78" t="s">
        <v>108</v>
      </c>
      <c r="M3" s="78" t="s">
        <v>109</v>
      </c>
      <c r="N3" s="78" t="s">
        <v>110</v>
      </c>
      <c r="O3" s="78" t="s">
        <v>111</v>
      </c>
      <c r="P3" s="78" t="s">
        <v>112</v>
      </c>
      <c r="Q3" s="78" t="s">
        <v>113</v>
      </c>
      <c r="R3" s="78" t="s">
        <v>20</v>
      </c>
      <c r="S3" s="165"/>
      <c r="T3" s="165"/>
      <c r="U3" s="165"/>
      <c r="V3" s="165"/>
      <c r="W3" s="165"/>
    </row>
    <row r="4" spans="2:23" x14ac:dyDescent="0.25">
      <c r="B4" s="80">
        <v>1</v>
      </c>
      <c r="C4" s="89"/>
      <c r="D4" s="81"/>
      <c r="E4" s="82"/>
      <c r="F4" s="96"/>
      <c r="G4" s="96"/>
      <c r="H4" s="96"/>
      <c r="I4" s="96"/>
      <c r="J4" s="96"/>
      <c r="K4" s="96"/>
      <c r="L4" s="96"/>
      <c r="M4" s="96"/>
      <c r="N4" s="96"/>
      <c r="O4" s="96"/>
      <c r="P4" s="96"/>
      <c r="Q4" s="96"/>
      <c r="R4" s="96"/>
      <c r="S4" s="80"/>
      <c r="T4" s="97"/>
      <c r="U4" s="97"/>
      <c r="V4" s="97"/>
      <c r="W4" s="97"/>
    </row>
    <row r="5" spans="2:23" x14ac:dyDescent="0.25">
      <c r="B5" s="80">
        <v>2</v>
      </c>
      <c r="C5" s="89"/>
      <c r="D5" s="84"/>
      <c r="E5" s="82"/>
      <c r="F5" s="96"/>
      <c r="G5" s="96"/>
      <c r="H5" s="96"/>
      <c r="I5" s="96"/>
      <c r="J5" s="96"/>
      <c r="K5" s="96"/>
      <c r="L5" s="96"/>
      <c r="M5" s="96"/>
      <c r="N5" s="96"/>
      <c r="O5" s="96"/>
      <c r="P5" s="96"/>
      <c r="Q5" s="96"/>
      <c r="R5" s="96"/>
      <c r="S5" s="80"/>
      <c r="T5" s="80"/>
      <c r="U5" s="80"/>
      <c r="V5" s="80"/>
      <c r="W5" s="80"/>
    </row>
    <row r="6" spans="2:23" x14ac:dyDescent="0.25">
      <c r="B6" s="80">
        <v>3</v>
      </c>
      <c r="C6" s="89"/>
      <c r="D6" s="84"/>
      <c r="E6" s="82"/>
      <c r="F6" s="96"/>
      <c r="G6" s="96"/>
      <c r="H6" s="96"/>
      <c r="I6" s="96"/>
      <c r="J6" s="96"/>
      <c r="K6" s="96"/>
      <c r="L6" s="96"/>
      <c r="M6" s="96"/>
      <c r="N6" s="96"/>
      <c r="O6" s="96"/>
      <c r="P6" s="96"/>
      <c r="Q6" s="96"/>
      <c r="R6" s="96"/>
      <c r="S6" s="80"/>
      <c r="T6" s="80"/>
      <c r="U6" s="80"/>
      <c r="V6" s="80"/>
      <c r="W6" s="80"/>
    </row>
    <row r="7" spans="2:23" x14ac:dyDescent="0.25">
      <c r="B7" s="80">
        <v>4</v>
      </c>
      <c r="C7" s="89"/>
      <c r="D7" s="84"/>
      <c r="E7" s="82"/>
      <c r="F7" s="96"/>
      <c r="G7" s="96"/>
      <c r="H7" s="96"/>
      <c r="I7" s="96"/>
      <c r="J7" s="96"/>
      <c r="K7" s="96"/>
      <c r="L7" s="96"/>
      <c r="M7" s="96"/>
      <c r="N7" s="96"/>
      <c r="O7" s="96"/>
      <c r="P7" s="96"/>
      <c r="Q7" s="96"/>
      <c r="R7" s="96"/>
      <c r="S7" s="80"/>
      <c r="T7" s="80"/>
      <c r="U7" s="80"/>
      <c r="V7" s="80"/>
      <c r="W7" s="80"/>
    </row>
    <row r="8" spans="2:23" x14ac:dyDescent="0.25">
      <c r="B8" s="80">
        <v>5</v>
      </c>
      <c r="C8" s="89"/>
      <c r="D8" s="84"/>
      <c r="E8" s="82"/>
      <c r="F8" s="67"/>
      <c r="G8" s="67"/>
      <c r="H8" s="96"/>
      <c r="I8" s="67"/>
      <c r="J8" s="67"/>
      <c r="K8" s="67"/>
      <c r="L8" s="67"/>
      <c r="M8" s="67"/>
      <c r="N8" s="67"/>
      <c r="O8" s="96"/>
      <c r="P8" s="96"/>
      <c r="Q8" s="96"/>
      <c r="R8" s="96"/>
      <c r="S8" s="80"/>
      <c r="T8" s="80"/>
      <c r="U8" s="80"/>
      <c r="V8" s="80"/>
      <c r="W8" s="80"/>
    </row>
    <row r="9" spans="2:23" x14ac:dyDescent="0.25">
      <c r="B9" s="80">
        <v>6</v>
      </c>
      <c r="C9" s="89"/>
      <c r="D9" s="84"/>
      <c r="E9" s="82"/>
      <c r="F9" s="67"/>
      <c r="G9" s="67"/>
      <c r="H9" s="67"/>
      <c r="I9" s="67"/>
      <c r="J9" s="67"/>
      <c r="K9" s="67"/>
      <c r="L9" s="67"/>
      <c r="M9" s="67"/>
      <c r="N9" s="96"/>
      <c r="O9" s="96"/>
      <c r="P9" s="96"/>
      <c r="Q9" s="96"/>
      <c r="R9" s="96"/>
      <c r="S9" s="80"/>
      <c r="T9" s="80"/>
      <c r="U9" s="80"/>
      <c r="V9" s="80"/>
      <c r="W9" s="80"/>
    </row>
    <row r="10" spans="2:23" x14ac:dyDescent="0.25">
      <c r="B10" s="80">
        <v>7</v>
      </c>
      <c r="C10" s="89"/>
      <c r="D10" s="84"/>
      <c r="E10" s="82"/>
      <c r="F10" s="96"/>
      <c r="G10" s="96"/>
      <c r="H10" s="96"/>
      <c r="I10" s="96"/>
      <c r="J10" s="96"/>
      <c r="K10" s="96"/>
      <c r="L10" s="96"/>
      <c r="M10" s="96"/>
      <c r="N10" s="96"/>
      <c r="O10" s="96"/>
      <c r="P10" s="96"/>
      <c r="Q10" s="96"/>
      <c r="R10" s="96"/>
      <c r="S10" s="80"/>
      <c r="T10" s="80"/>
      <c r="U10" s="80"/>
      <c r="V10" s="80"/>
      <c r="W10" s="80"/>
    </row>
    <row r="11" spans="2:23" x14ac:dyDescent="0.25">
      <c r="B11" s="80">
        <v>8</v>
      </c>
      <c r="C11" s="89"/>
      <c r="D11" s="84"/>
      <c r="E11" s="82"/>
      <c r="F11" s="67"/>
      <c r="G11" s="96"/>
      <c r="H11" s="96"/>
      <c r="I11" s="68"/>
      <c r="J11" s="68"/>
      <c r="K11" s="96"/>
      <c r="L11" s="96"/>
      <c r="M11" s="96"/>
      <c r="N11" s="96"/>
      <c r="O11" s="96"/>
      <c r="P11" s="96"/>
      <c r="Q11" s="96"/>
      <c r="R11" s="96"/>
      <c r="S11" s="80"/>
      <c r="T11" s="80"/>
      <c r="U11" s="80"/>
      <c r="V11" s="80"/>
      <c r="W11" s="80"/>
    </row>
    <row r="12" spans="2:23" x14ac:dyDescent="0.25">
      <c r="B12" s="80">
        <v>9</v>
      </c>
      <c r="C12" s="89"/>
      <c r="D12" s="84"/>
      <c r="E12" s="82"/>
      <c r="F12" s="96"/>
      <c r="G12" s="96"/>
      <c r="H12" s="96"/>
      <c r="I12" s="96"/>
      <c r="J12" s="96"/>
      <c r="K12" s="96"/>
      <c r="L12" s="96"/>
      <c r="M12" s="96"/>
      <c r="N12" s="96"/>
      <c r="O12" s="96"/>
      <c r="P12" s="96"/>
      <c r="Q12" s="96"/>
      <c r="R12" s="96"/>
      <c r="S12" s="80"/>
      <c r="T12" s="80"/>
      <c r="U12" s="80"/>
      <c r="V12" s="80"/>
      <c r="W12" s="80"/>
    </row>
    <row r="13" spans="2:23" x14ac:dyDescent="0.25">
      <c r="B13" s="80">
        <v>10</v>
      </c>
      <c r="C13" s="89"/>
      <c r="D13" s="84"/>
      <c r="E13" s="82"/>
      <c r="F13" s="96"/>
      <c r="G13" s="96"/>
      <c r="H13" s="96"/>
      <c r="I13" s="96"/>
      <c r="J13" s="96"/>
      <c r="K13" s="96"/>
      <c r="L13" s="96"/>
      <c r="M13" s="96"/>
      <c r="N13" s="96"/>
      <c r="O13" s="96"/>
      <c r="P13" s="96"/>
      <c r="Q13" s="96"/>
      <c r="R13" s="96"/>
      <c r="S13" s="80"/>
      <c r="T13" s="80"/>
      <c r="U13" s="80"/>
      <c r="V13" s="80"/>
      <c r="W13" s="80"/>
    </row>
    <row r="14" spans="2:23" x14ac:dyDescent="0.25">
      <c r="B14" s="80">
        <v>11</v>
      </c>
      <c r="C14" s="89"/>
      <c r="D14" s="81"/>
      <c r="E14" s="82"/>
      <c r="F14" s="96"/>
      <c r="G14" s="96"/>
      <c r="H14" s="96"/>
      <c r="I14" s="96"/>
      <c r="J14" s="96"/>
      <c r="K14" s="96"/>
      <c r="L14" s="96"/>
      <c r="M14" s="96"/>
      <c r="N14" s="96"/>
      <c r="O14" s="96"/>
      <c r="P14" s="96"/>
      <c r="Q14" s="96"/>
      <c r="R14" s="96"/>
      <c r="S14" s="80"/>
      <c r="T14" s="97"/>
      <c r="U14" s="97"/>
      <c r="V14" s="97"/>
      <c r="W14" s="97"/>
    </row>
    <row r="15" spans="2:23" x14ac:dyDescent="0.25">
      <c r="B15" s="80">
        <v>12</v>
      </c>
      <c r="C15" s="89"/>
      <c r="D15" s="84"/>
      <c r="E15" s="82"/>
      <c r="F15" s="96"/>
      <c r="G15" s="96"/>
      <c r="H15" s="96"/>
      <c r="I15" s="96"/>
      <c r="J15" s="96"/>
      <c r="K15" s="96"/>
      <c r="L15" s="96"/>
      <c r="M15" s="96"/>
      <c r="N15" s="96"/>
      <c r="O15" s="96"/>
      <c r="P15" s="96"/>
      <c r="Q15" s="96"/>
      <c r="R15" s="96"/>
      <c r="S15" s="80"/>
      <c r="T15" s="80"/>
      <c r="U15" s="80"/>
      <c r="V15" s="80"/>
      <c r="W15" s="80"/>
    </row>
    <row r="16" spans="2:23" x14ac:dyDescent="0.25">
      <c r="B16" s="80">
        <v>13</v>
      </c>
      <c r="C16" s="89"/>
      <c r="D16" s="84"/>
      <c r="E16" s="82"/>
      <c r="F16" s="96"/>
      <c r="G16" s="96"/>
      <c r="H16" s="96"/>
      <c r="I16" s="96"/>
      <c r="J16" s="96"/>
      <c r="K16" s="96"/>
      <c r="L16" s="96"/>
      <c r="M16" s="96"/>
      <c r="N16" s="96"/>
      <c r="O16" s="96"/>
      <c r="P16" s="96"/>
      <c r="Q16" s="96"/>
      <c r="R16" s="96"/>
      <c r="S16" s="80"/>
      <c r="T16" s="80"/>
      <c r="U16" s="80"/>
      <c r="V16" s="80"/>
      <c r="W16" s="80"/>
    </row>
    <row r="17" spans="2:23" x14ac:dyDescent="0.25">
      <c r="B17" s="80">
        <v>14</v>
      </c>
      <c r="C17" s="89"/>
      <c r="D17" s="84"/>
      <c r="E17" s="82"/>
      <c r="F17" s="96"/>
      <c r="G17" s="96"/>
      <c r="H17" s="96"/>
      <c r="I17" s="96"/>
      <c r="J17" s="96"/>
      <c r="K17" s="96"/>
      <c r="L17" s="96"/>
      <c r="M17" s="96"/>
      <c r="N17" s="96"/>
      <c r="O17" s="96"/>
      <c r="P17" s="96"/>
      <c r="Q17" s="96"/>
      <c r="R17" s="96"/>
      <c r="S17" s="80"/>
      <c r="T17" s="80"/>
      <c r="U17" s="80"/>
      <c r="V17" s="80"/>
      <c r="W17" s="80"/>
    </row>
    <row r="18" spans="2:23" x14ac:dyDescent="0.25">
      <c r="B18" s="80">
        <v>15</v>
      </c>
      <c r="C18" s="89"/>
      <c r="D18" s="84"/>
      <c r="E18" s="82"/>
      <c r="F18" s="96"/>
      <c r="G18" s="96"/>
      <c r="H18" s="96"/>
      <c r="I18" s="96"/>
      <c r="J18" s="96"/>
      <c r="K18" s="96"/>
      <c r="L18" s="96"/>
      <c r="M18" s="96"/>
      <c r="N18" s="96"/>
      <c r="O18" s="96"/>
      <c r="P18" s="96"/>
      <c r="Q18" s="96"/>
      <c r="R18" s="96"/>
      <c r="S18" s="80"/>
      <c r="T18" s="80"/>
      <c r="U18" s="80"/>
      <c r="V18" s="80"/>
      <c r="W18" s="80"/>
    </row>
    <row r="19" spans="2:23" s="87" customFormat="1" x14ac:dyDescent="0.25">
      <c r="B19" s="80">
        <v>16</v>
      </c>
      <c r="C19" s="89"/>
      <c r="D19" s="84"/>
      <c r="E19" s="82"/>
      <c r="F19" s="96"/>
      <c r="G19" s="96"/>
      <c r="H19" s="96"/>
      <c r="I19" s="96"/>
      <c r="J19" s="96"/>
      <c r="K19" s="96"/>
      <c r="L19" s="96"/>
      <c r="M19" s="96"/>
      <c r="N19" s="96"/>
      <c r="O19" s="96"/>
      <c r="P19" s="96"/>
      <c r="Q19" s="96"/>
      <c r="R19" s="96"/>
      <c r="S19" s="80"/>
      <c r="T19" s="80"/>
      <c r="U19" s="80"/>
      <c r="V19" s="80"/>
      <c r="W19" s="80"/>
    </row>
    <row r="20" spans="2:23" x14ac:dyDescent="0.25">
      <c r="B20" s="80">
        <v>17</v>
      </c>
      <c r="C20" s="89"/>
      <c r="D20" s="84"/>
      <c r="E20" s="82"/>
      <c r="F20" s="96"/>
      <c r="G20" s="96"/>
      <c r="H20" s="96"/>
      <c r="I20" s="96"/>
      <c r="J20" s="96"/>
      <c r="K20" s="96"/>
      <c r="L20" s="96"/>
      <c r="M20" s="96"/>
      <c r="N20" s="96"/>
      <c r="O20" s="96"/>
      <c r="P20" s="96"/>
      <c r="Q20" s="96"/>
      <c r="R20" s="96"/>
      <c r="S20" s="80"/>
      <c r="T20" s="80"/>
      <c r="U20" s="80"/>
      <c r="V20" s="80"/>
      <c r="W20" s="80"/>
    </row>
    <row r="21" spans="2:23" x14ac:dyDescent="0.25">
      <c r="B21" s="80">
        <v>18</v>
      </c>
      <c r="C21" s="89"/>
      <c r="D21" s="84"/>
      <c r="E21" s="82"/>
      <c r="F21" s="80"/>
      <c r="G21" s="80"/>
      <c r="H21" s="80"/>
      <c r="I21" s="80"/>
      <c r="J21" s="80"/>
      <c r="K21" s="80"/>
      <c r="L21" s="80"/>
      <c r="M21" s="80"/>
      <c r="N21" s="80"/>
      <c r="O21" s="80"/>
      <c r="P21" s="80"/>
      <c r="Q21" s="80"/>
      <c r="R21" s="80"/>
      <c r="S21" s="80"/>
      <c r="T21" s="85"/>
      <c r="U21" s="85"/>
      <c r="V21" s="85"/>
      <c r="W21" s="85"/>
    </row>
    <row r="23" spans="2:23" ht="21" customHeight="1" x14ac:dyDescent="0.25">
      <c r="B23" s="92" t="s">
        <v>21</v>
      </c>
    </row>
    <row r="24" spans="2:23" x14ac:dyDescent="0.25">
      <c r="B24" s="94" t="s">
        <v>132</v>
      </c>
    </row>
    <row r="25" spans="2:23" x14ac:dyDescent="0.25">
      <c r="B25" s="94"/>
      <c r="C25" s="99"/>
      <c r="D25" s="95"/>
    </row>
  </sheetData>
  <mergeCells count="11">
    <mergeCell ref="B1:W1"/>
    <mergeCell ref="E2:E3"/>
    <mergeCell ref="F2:R2"/>
    <mergeCell ref="V2:V3"/>
    <mergeCell ref="W2:W3"/>
    <mergeCell ref="T2:T3"/>
    <mergeCell ref="U2:U3"/>
    <mergeCell ref="B2:B3"/>
    <mergeCell ref="C2:C3"/>
    <mergeCell ref="D2:D3"/>
    <mergeCell ref="S2:S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B1:F8"/>
  <sheetViews>
    <sheetView zoomScale="90" zoomScaleNormal="90" workbookViewId="0">
      <selection activeCell="I14" sqref="I14"/>
    </sheetView>
  </sheetViews>
  <sheetFormatPr defaultColWidth="9.140625" defaultRowHeight="15.75" x14ac:dyDescent="0.25"/>
  <cols>
    <col min="1" max="1" width="3.42578125" style="46" customWidth="1"/>
    <col min="2" max="2" width="6.42578125" style="46" customWidth="1"/>
    <col min="3" max="3" width="45.42578125" style="46" bestFit="1" customWidth="1"/>
    <col min="4" max="4" width="20.42578125" style="46" customWidth="1"/>
    <col min="5" max="5" width="24" style="46" customWidth="1"/>
    <col min="6" max="6" width="47" style="46" customWidth="1"/>
    <col min="7" max="16384" width="9.140625" style="46"/>
  </cols>
  <sheetData>
    <row r="1" spans="2:6" ht="39" customHeight="1" x14ac:dyDescent="0.25">
      <c r="B1" s="174" t="s">
        <v>120</v>
      </c>
      <c r="C1" s="174"/>
      <c r="D1" s="174"/>
      <c r="E1" s="174"/>
      <c r="F1" s="174"/>
    </row>
    <row r="2" spans="2:6" s="57" customFormat="1" ht="42" customHeight="1" x14ac:dyDescent="0.25">
      <c r="B2" s="15" t="s">
        <v>16</v>
      </c>
      <c r="C2" s="14" t="s">
        <v>124</v>
      </c>
      <c r="D2" s="14" t="s">
        <v>121</v>
      </c>
      <c r="E2" s="15" t="s">
        <v>122</v>
      </c>
      <c r="F2" s="14" t="s">
        <v>123</v>
      </c>
    </row>
    <row r="3" spans="2:6" x14ac:dyDescent="0.25">
      <c r="B3" s="13">
        <v>1</v>
      </c>
      <c r="C3" s="13" t="s">
        <v>48</v>
      </c>
      <c r="D3" s="13"/>
      <c r="E3" s="13"/>
      <c r="F3" s="13"/>
    </row>
    <row r="4" spans="2:6" x14ac:dyDescent="0.25">
      <c r="B4" s="13">
        <v>2</v>
      </c>
      <c r="C4" s="13" t="s">
        <v>48</v>
      </c>
      <c r="D4" s="13"/>
      <c r="E4" s="13"/>
      <c r="F4" s="13"/>
    </row>
    <row r="5" spans="2:6" x14ac:dyDescent="0.25">
      <c r="B5" s="13">
        <v>3</v>
      </c>
      <c r="C5" s="13" t="s">
        <v>48</v>
      </c>
      <c r="D5" s="13"/>
      <c r="E5" s="13"/>
      <c r="F5" s="13"/>
    </row>
    <row r="7" spans="2:6" x14ac:dyDescent="0.25">
      <c r="B7" s="58" t="s">
        <v>21</v>
      </c>
    </row>
    <row r="8" spans="2:6" x14ac:dyDescent="0.25">
      <c r="B8" s="54" t="s">
        <v>146</v>
      </c>
    </row>
  </sheetData>
  <mergeCells count="1">
    <mergeCell ref="B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AC9"/>
  <sheetViews>
    <sheetView zoomScale="58" zoomScaleNormal="90" workbookViewId="0">
      <selection activeCell="C4" sqref="C4"/>
    </sheetView>
  </sheetViews>
  <sheetFormatPr defaultColWidth="9.140625" defaultRowHeight="15.75" x14ac:dyDescent="0.25"/>
  <cols>
    <col min="1" max="1" width="3.42578125" style="93" customWidth="1"/>
    <col min="2" max="2" width="9.140625" style="93"/>
    <col min="3" max="3" width="18.140625" style="93" customWidth="1"/>
    <col min="4" max="4" width="13.5703125" style="93" customWidth="1"/>
    <col min="5" max="5" width="7.42578125" style="93" bestFit="1" customWidth="1"/>
    <col min="6" max="19" width="10.5703125" style="93" customWidth="1"/>
    <col min="20" max="20" width="4.42578125" style="93" customWidth="1"/>
    <col min="21" max="21" width="5.140625" style="93" bestFit="1" customWidth="1"/>
    <col min="22" max="22" width="24" style="93" bestFit="1" customWidth="1"/>
    <col min="23" max="23" width="12.85546875" style="93" bestFit="1" customWidth="1"/>
    <col min="24" max="24" width="22.42578125" style="93" bestFit="1" customWidth="1"/>
    <col min="25" max="25" width="27.140625" style="93" bestFit="1" customWidth="1"/>
    <col min="26" max="26" width="21" style="93" bestFit="1" customWidth="1"/>
    <col min="27" max="27" width="24.42578125" style="93" customWidth="1"/>
    <col min="28" max="29" width="14.42578125" style="93" customWidth="1"/>
    <col min="30" max="16384" width="9.140625" style="93"/>
  </cols>
  <sheetData>
    <row r="1" spans="1:29" ht="32.25" customHeight="1" x14ac:dyDescent="0.25">
      <c r="B1" s="175" t="s">
        <v>127</v>
      </c>
      <c r="C1" s="175"/>
      <c r="D1" s="175"/>
      <c r="E1" s="175"/>
      <c r="F1" s="175"/>
      <c r="G1" s="175"/>
      <c r="H1" s="175"/>
      <c r="I1" s="175"/>
      <c r="J1" s="175"/>
      <c r="K1" s="175"/>
      <c r="L1" s="175"/>
      <c r="M1" s="175"/>
      <c r="N1" s="175"/>
      <c r="O1" s="175"/>
      <c r="P1" s="175"/>
      <c r="Q1" s="175"/>
      <c r="R1" s="175"/>
      <c r="S1" s="175"/>
      <c r="U1" s="175" t="s">
        <v>130</v>
      </c>
      <c r="V1" s="175"/>
      <c r="W1" s="175"/>
      <c r="X1" s="175"/>
      <c r="Y1" s="175"/>
      <c r="Z1" s="175"/>
      <c r="AA1" s="175"/>
      <c r="AB1" s="175"/>
      <c r="AC1" s="175"/>
    </row>
    <row r="2" spans="1:29" ht="47.25" x14ac:dyDescent="0.25">
      <c r="B2" s="176" t="s">
        <v>16</v>
      </c>
      <c r="C2" s="164" t="s">
        <v>125</v>
      </c>
      <c r="D2" s="164" t="s">
        <v>195</v>
      </c>
      <c r="E2" s="164" t="s">
        <v>3</v>
      </c>
      <c r="F2" s="166" t="s">
        <v>234</v>
      </c>
      <c r="G2" s="166"/>
      <c r="H2" s="166"/>
      <c r="I2" s="166"/>
      <c r="J2" s="166"/>
      <c r="K2" s="166"/>
      <c r="L2" s="166"/>
      <c r="M2" s="166"/>
      <c r="N2" s="166"/>
      <c r="O2" s="166"/>
      <c r="P2" s="166"/>
      <c r="Q2" s="166"/>
      <c r="R2" s="166"/>
      <c r="S2" s="164" t="s">
        <v>196</v>
      </c>
      <c r="U2" s="78" t="s">
        <v>16</v>
      </c>
      <c r="V2" s="78" t="s">
        <v>235</v>
      </c>
      <c r="W2" s="78" t="s">
        <v>126</v>
      </c>
      <c r="X2" s="78" t="s">
        <v>236</v>
      </c>
      <c r="Y2" s="78" t="s">
        <v>237</v>
      </c>
      <c r="Z2" s="78" t="s">
        <v>238</v>
      </c>
      <c r="AA2" s="78" t="s">
        <v>239</v>
      </c>
      <c r="AB2" s="78" t="s">
        <v>240</v>
      </c>
      <c r="AC2" s="78" t="s">
        <v>129</v>
      </c>
    </row>
    <row r="3" spans="1:29" x14ac:dyDescent="0.25">
      <c r="B3" s="177"/>
      <c r="C3" s="165"/>
      <c r="D3" s="165"/>
      <c r="E3" s="165"/>
      <c r="F3" s="100" t="s">
        <v>102</v>
      </c>
      <c r="G3" s="100" t="s">
        <v>103</v>
      </c>
      <c r="H3" s="100" t="s">
        <v>104</v>
      </c>
      <c r="I3" s="100" t="s">
        <v>105</v>
      </c>
      <c r="J3" s="100" t="s">
        <v>106</v>
      </c>
      <c r="K3" s="100" t="s">
        <v>107</v>
      </c>
      <c r="L3" s="100" t="s">
        <v>108</v>
      </c>
      <c r="M3" s="100" t="s">
        <v>109</v>
      </c>
      <c r="N3" s="100" t="s">
        <v>110</v>
      </c>
      <c r="O3" s="100" t="s">
        <v>111</v>
      </c>
      <c r="P3" s="100" t="s">
        <v>112</v>
      </c>
      <c r="Q3" s="100" t="s">
        <v>113</v>
      </c>
      <c r="R3" s="100" t="s">
        <v>78</v>
      </c>
      <c r="S3" s="165"/>
      <c r="U3" s="80">
        <v>1</v>
      </c>
      <c r="V3" s="80" t="s">
        <v>48</v>
      </c>
      <c r="W3" s="80"/>
      <c r="X3" s="80"/>
      <c r="Y3" s="80"/>
      <c r="Z3" s="80"/>
      <c r="AA3" s="80"/>
      <c r="AB3" s="80"/>
      <c r="AC3" s="80"/>
    </row>
    <row r="4" spans="1:29" ht="31.5" x14ac:dyDescent="0.25">
      <c r="B4" s="90">
        <v>1</v>
      </c>
      <c r="C4" s="101" t="s">
        <v>199</v>
      </c>
      <c r="D4" s="101"/>
      <c r="E4" s="102"/>
      <c r="F4" s="103"/>
      <c r="G4" s="103"/>
      <c r="H4" s="103"/>
      <c r="I4" s="103"/>
      <c r="J4" s="103"/>
      <c r="K4" s="103"/>
      <c r="L4" s="103"/>
      <c r="M4" s="103"/>
      <c r="N4" s="103"/>
      <c r="O4" s="103"/>
      <c r="P4" s="103"/>
      <c r="Q4" s="103"/>
      <c r="R4" s="104"/>
      <c r="S4" s="104"/>
      <c r="U4" s="80">
        <v>2</v>
      </c>
      <c r="V4" s="80" t="s">
        <v>48</v>
      </c>
      <c r="W4" s="80"/>
      <c r="X4" s="80"/>
      <c r="Y4" s="80"/>
      <c r="Z4" s="80"/>
      <c r="AA4" s="80"/>
      <c r="AB4" s="80"/>
      <c r="AC4" s="80"/>
    </row>
    <row r="5" spans="1:29" ht="31.5" x14ac:dyDescent="0.25">
      <c r="B5" s="90">
        <v>2</v>
      </c>
      <c r="C5" s="101" t="s">
        <v>200</v>
      </c>
      <c r="D5" s="101"/>
      <c r="E5" s="102"/>
      <c r="F5" s="103"/>
      <c r="G5" s="103"/>
      <c r="H5" s="103"/>
      <c r="I5" s="103"/>
      <c r="J5" s="103"/>
      <c r="K5" s="103"/>
      <c r="L5" s="103"/>
      <c r="M5" s="103"/>
      <c r="N5" s="103"/>
      <c r="O5" s="103"/>
      <c r="P5" s="103"/>
      <c r="Q5" s="103"/>
      <c r="R5" s="104"/>
      <c r="S5" s="104"/>
      <c r="U5" s="80">
        <v>3</v>
      </c>
      <c r="V5" s="80" t="s">
        <v>48</v>
      </c>
      <c r="W5" s="80"/>
      <c r="X5" s="80"/>
      <c r="Y5" s="80"/>
      <c r="Z5" s="80"/>
      <c r="AA5" s="80"/>
      <c r="AB5" s="80"/>
      <c r="AC5" s="80"/>
    </row>
    <row r="6" spans="1:29" ht="31.5" x14ac:dyDescent="0.25">
      <c r="B6" s="90">
        <v>3</v>
      </c>
      <c r="C6" s="101" t="s">
        <v>201</v>
      </c>
      <c r="D6" s="101"/>
      <c r="E6" s="102"/>
      <c r="F6" s="103"/>
      <c r="G6" s="103"/>
      <c r="H6" s="103"/>
      <c r="I6" s="103"/>
      <c r="J6" s="103"/>
      <c r="K6" s="103"/>
      <c r="L6" s="103"/>
      <c r="M6" s="103"/>
      <c r="N6" s="103"/>
      <c r="O6" s="103"/>
      <c r="P6" s="103"/>
      <c r="Q6" s="103"/>
      <c r="R6" s="105"/>
      <c r="S6" s="105"/>
    </row>
    <row r="7" spans="1:29" x14ac:dyDescent="0.25">
      <c r="A7" s="76"/>
      <c r="F7" s="106"/>
      <c r="G7" s="106"/>
      <c r="H7" s="106"/>
      <c r="I7" s="106"/>
      <c r="J7" s="106"/>
      <c r="K7" s="106"/>
      <c r="L7" s="106"/>
      <c r="M7" s="106"/>
      <c r="N7" s="106"/>
      <c r="O7" s="106"/>
      <c r="P7" s="106"/>
      <c r="Q7" s="106"/>
      <c r="R7" s="107"/>
      <c r="S7" s="107"/>
      <c r="U7" s="108" t="s">
        <v>116</v>
      </c>
    </row>
    <row r="8" spans="1:29" x14ac:dyDescent="0.25">
      <c r="A8" s="76"/>
      <c r="B8" s="108" t="s">
        <v>116</v>
      </c>
      <c r="F8" s="106"/>
      <c r="G8" s="106"/>
      <c r="H8" s="106"/>
      <c r="I8" s="106"/>
      <c r="J8" s="106"/>
      <c r="K8" s="106"/>
      <c r="L8" s="106"/>
      <c r="M8" s="106"/>
      <c r="N8" s="106"/>
      <c r="O8" s="106"/>
      <c r="P8" s="106"/>
      <c r="Q8" s="106"/>
      <c r="R8" s="107"/>
      <c r="S8" s="107"/>
      <c r="U8" s="94" t="s">
        <v>131</v>
      </c>
    </row>
    <row r="9" spans="1:29" x14ac:dyDescent="0.25">
      <c r="B9" s="109" t="s">
        <v>133</v>
      </c>
    </row>
  </sheetData>
  <mergeCells count="8">
    <mergeCell ref="U1:AC1"/>
    <mergeCell ref="F2:R2"/>
    <mergeCell ref="E2:E3"/>
    <mergeCell ref="C2:C3"/>
    <mergeCell ref="B2:B3"/>
    <mergeCell ref="D2:D3"/>
    <mergeCell ref="B1:S1"/>
    <mergeCell ref="S2:S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AW21"/>
  <sheetViews>
    <sheetView zoomScale="85" zoomScaleNormal="85" workbookViewId="0">
      <selection activeCell="AG8" sqref="AG8"/>
    </sheetView>
  </sheetViews>
  <sheetFormatPr defaultColWidth="9.140625" defaultRowHeight="15.75" x14ac:dyDescent="0.25"/>
  <cols>
    <col min="1" max="1" width="3.140625" style="110" customWidth="1"/>
    <col min="2" max="2" width="6.5703125" style="110" customWidth="1"/>
    <col min="3" max="3" width="22.85546875" style="110" customWidth="1"/>
    <col min="4" max="4" width="14.85546875" style="110" customWidth="1"/>
    <col min="5" max="5" width="10.140625" style="110" customWidth="1"/>
    <col min="6" max="17" width="10.42578125" style="110" customWidth="1"/>
    <col min="18" max="18" width="13.42578125" style="110" customWidth="1"/>
    <col min="19" max="19" width="10.85546875" style="110" customWidth="1"/>
    <col min="20" max="20" width="4.140625" style="110" customWidth="1"/>
    <col min="21" max="21" width="6.5703125" style="110" hidden="1" customWidth="1"/>
    <col min="22" max="22" width="28.42578125" style="110" hidden="1" customWidth="1"/>
    <col min="23" max="23" width="7.42578125" style="110" hidden="1" customWidth="1"/>
    <col min="24" max="24" width="23.42578125" style="110" hidden="1" customWidth="1"/>
    <col min="25" max="25" width="21.42578125" style="110" hidden="1" customWidth="1"/>
    <col min="26" max="26" width="0" style="110" hidden="1" customWidth="1"/>
    <col min="27" max="27" width="5.140625" style="110" hidden="1" customWidth="1"/>
    <col min="28" max="28" width="42.140625" style="110" hidden="1" customWidth="1"/>
    <col min="29" max="29" width="7.42578125" style="110" hidden="1" customWidth="1"/>
    <col min="30" max="30" width="22.42578125" style="110" hidden="1" customWidth="1"/>
    <col min="31" max="31" width="28.5703125" style="110" hidden="1" customWidth="1"/>
    <col min="32" max="32" width="6.5703125" style="110" customWidth="1"/>
    <col min="33" max="33" width="24.42578125" style="110" customWidth="1"/>
    <col min="34" max="34" width="14.140625" style="110" customWidth="1"/>
    <col min="35" max="35" width="10.140625" style="110" customWidth="1"/>
    <col min="36" max="47" width="10.42578125" style="110" customWidth="1"/>
    <col min="48" max="48" width="13.42578125" style="110" customWidth="1"/>
    <col min="49" max="50" width="12" style="110" customWidth="1"/>
    <col min="51" max="16384" width="9.140625" style="110"/>
  </cols>
  <sheetData>
    <row r="1" spans="2:49" ht="29.25" customHeight="1" x14ac:dyDescent="0.25">
      <c r="B1" s="175" t="s">
        <v>148</v>
      </c>
      <c r="C1" s="175"/>
      <c r="D1" s="175"/>
      <c r="E1" s="175"/>
      <c r="F1" s="175"/>
      <c r="G1" s="175"/>
      <c r="H1" s="175"/>
      <c r="I1" s="175"/>
      <c r="J1" s="175"/>
      <c r="K1" s="175"/>
      <c r="L1" s="175"/>
      <c r="M1" s="175"/>
      <c r="N1" s="175"/>
      <c r="O1" s="175"/>
      <c r="P1" s="175"/>
      <c r="Q1" s="175"/>
      <c r="R1" s="175"/>
      <c r="S1" s="175"/>
      <c r="U1" s="175" t="s">
        <v>156</v>
      </c>
      <c r="V1" s="175"/>
      <c r="W1" s="175"/>
      <c r="X1" s="175"/>
      <c r="Y1" s="175"/>
      <c r="AA1" s="175" t="s">
        <v>157</v>
      </c>
      <c r="AB1" s="175"/>
      <c r="AC1" s="175"/>
      <c r="AD1" s="175"/>
      <c r="AE1" s="175"/>
      <c r="AF1" s="175" t="s">
        <v>202</v>
      </c>
      <c r="AG1" s="175"/>
      <c r="AH1" s="175"/>
      <c r="AI1" s="175"/>
      <c r="AJ1" s="175"/>
      <c r="AK1" s="175"/>
      <c r="AL1" s="175"/>
      <c r="AM1" s="175"/>
      <c r="AN1" s="175"/>
      <c r="AO1" s="175"/>
      <c r="AP1" s="175"/>
      <c r="AQ1" s="175"/>
      <c r="AR1" s="175"/>
      <c r="AS1" s="175"/>
      <c r="AT1" s="175"/>
      <c r="AU1" s="175"/>
      <c r="AV1" s="175"/>
      <c r="AW1" s="175"/>
    </row>
    <row r="2" spans="2:49" s="98" customFormat="1" ht="30.75" customHeight="1" x14ac:dyDescent="0.25">
      <c r="B2" s="77" t="s">
        <v>16</v>
      </c>
      <c r="C2" s="164" t="s">
        <v>155</v>
      </c>
      <c r="D2" s="164" t="s">
        <v>195</v>
      </c>
      <c r="E2" s="178" t="s">
        <v>3</v>
      </c>
      <c r="F2" s="180" t="s">
        <v>179</v>
      </c>
      <c r="G2" s="181"/>
      <c r="H2" s="181"/>
      <c r="I2" s="181"/>
      <c r="J2" s="181"/>
      <c r="K2" s="181"/>
      <c r="L2" s="181"/>
      <c r="M2" s="181"/>
      <c r="N2" s="181"/>
      <c r="O2" s="181"/>
      <c r="P2" s="181"/>
      <c r="Q2" s="181"/>
      <c r="R2" s="182"/>
      <c r="S2" s="164" t="s">
        <v>221</v>
      </c>
      <c r="T2" s="111"/>
      <c r="U2" s="77" t="s">
        <v>16</v>
      </c>
      <c r="V2" s="78" t="s">
        <v>158</v>
      </c>
      <c r="W2" s="77" t="s">
        <v>3</v>
      </c>
      <c r="X2" s="78" t="s">
        <v>144</v>
      </c>
      <c r="Y2" s="78" t="s">
        <v>25</v>
      </c>
      <c r="Z2" s="111"/>
      <c r="AA2" s="77" t="s">
        <v>16</v>
      </c>
      <c r="AB2" s="78" t="s">
        <v>158</v>
      </c>
      <c r="AC2" s="77" t="s">
        <v>3</v>
      </c>
      <c r="AD2" s="78" t="s">
        <v>144</v>
      </c>
      <c r="AE2" s="78" t="s">
        <v>25</v>
      </c>
      <c r="AF2" s="77" t="s">
        <v>16</v>
      </c>
      <c r="AG2" s="164" t="s">
        <v>190</v>
      </c>
      <c r="AH2" s="164" t="s">
        <v>195</v>
      </c>
      <c r="AI2" s="178" t="s">
        <v>3</v>
      </c>
      <c r="AJ2" s="180" t="s">
        <v>179</v>
      </c>
      <c r="AK2" s="181"/>
      <c r="AL2" s="181"/>
      <c r="AM2" s="181"/>
      <c r="AN2" s="181"/>
      <c r="AO2" s="181"/>
      <c r="AP2" s="181"/>
      <c r="AQ2" s="181"/>
      <c r="AR2" s="181"/>
      <c r="AS2" s="181"/>
      <c r="AT2" s="181"/>
      <c r="AU2" s="181"/>
      <c r="AV2" s="182"/>
      <c r="AW2" s="164" t="s">
        <v>221</v>
      </c>
    </row>
    <row r="3" spans="2:49" s="98" customFormat="1" ht="30.75" customHeight="1" x14ac:dyDescent="0.25">
      <c r="B3" s="77"/>
      <c r="C3" s="165"/>
      <c r="D3" s="165"/>
      <c r="E3" s="179"/>
      <c r="F3" s="100" t="s">
        <v>102</v>
      </c>
      <c r="G3" s="100" t="s">
        <v>103</v>
      </c>
      <c r="H3" s="100" t="s">
        <v>104</v>
      </c>
      <c r="I3" s="100" t="s">
        <v>105</v>
      </c>
      <c r="J3" s="100" t="s">
        <v>106</v>
      </c>
      <c r="K3" s="100" t="s">
        <v>107</v>
      </c>
      <c r="L3" s="100" t="s">
        <v>108</v>
      </c>
      <c r="M3" s="100" t="s">
        <v>109</v>
      </c>
      <c r="N3" s="100" t="s">
        <v>110</v>
      </c>
      <c r="O3" s="100" t="s">
        <v>111</v>
      </c>
      <c r="P3" s="100" t="s">
        <v>112</v>
      </c>
      <c r="Q3" s="100" t="s">
        <v>113</v>
      </c>
      <c r="R3" s="100" t="s">
        <v>78</v>
      </c>
      <c r="S3" s="165"/>
      <c r="T3" s="111"/>
      <c r="U3" s="77"/>
      <c r="V3" s="78"/>
      <c r="W3" s="77"/>
      <c r="X3" s="78"/>
      <c r="Y3" s="78"/>
      <c r="Z3" s="111"/>
      <c r="AA3" s="77"/>
      <c r="AB3" s="78"/>
      <c r="AC3" s="77"/>
      <c r="AD3" s="78"/>
      <c r="AE3" s="78"/>
      <c r="AF3" s="77"/>
      <c r="AG3" s="165"/>
      <c r="AH3" s="165"/>
      <c r="AI3" s="179"/>
      <c r="AJ3" s="100" t="s">
        <v>102</v>
      </c>
      <c r="AK3" s="100" t="s">
        <v>103</v>
      </c>
      <c r="AL3" s="100" t="s">
        <v>104</v>
      </c>
      <c r="AM3" s="100" t="s">
        <v>105</v>
      </c>
      <c r="AN3" s="100" t="s">
        <v>106</v>
      </c>
      <c r="AO3" s="100" t="s">
        <v>107</v>
      </c>
      <c r="AP3" s="100" t="s">
        <v>108</v>
      </c>
      <c r="AQ3" s="100" t="s">
        <v>109</v>
      </c>
      <c r="AR3" s="100" t="s">
        <v>110</v>
      </c>
      <c r="AS3" s="100" t="s">
        <v>111</v>
      </c>
      <c r="AT3" s="100" t="s">
        <v>112</v>
      </c>
      <c r="AU3" s="100" t="s">
        <v>113</v>
      </c>
      <c r="AV3" s="100" t="s">
        <v>78</v>
      </c>
      <c r="AW3" s="165"/>
    </row>
    <row r="4" spans="2:49" s="109" customFormat="1" ht="31.5" x14ac:dyDescent="0.25">
      <c r="B4" s="80">
        <v>1</v>
      </c>
      <c r="C4" s="89" t="s">
        <v>241</v>
      </c>
      <c r="D4" s="89"/>
      <c r="E4" s="85"/>
      <c r="F4" s="85"/>
      <c r="G4" s="85"/>
      <c r="H4" s="85"/>
      <c r="I4" s="85"/>
      <c r="J4" s="85"/>
      <c r="K4" s="85"/>
      <c r="L4" s="85"/>
      <c r="M4" s="85"/>
      <c r="N4" s="85"/>
      <c r="O4" s="85"/>
      <c r="P4" s="85"/>
      <c r="Q4" s="85"/>
      <c r="R4" s="85"/>
      <c r="S4" s="80"/>
      <c r="T4" s="98"/>
      <c r="U4" s="80">
        <v>1</v>
      </c>
      <c r="V4" s="89" t="s">
        <v>159</v>
      </c>
      <c r="W4" s="85"/>
      <c r="X4" s="85"/>
      <c r="Y4" s="85"/>
      <c r="Z4" s="98"/>
      <c r="AA4" s="80">
        <v>1</v>
      </c>
      <c r="AB4" s="85" t="s">
        <v>160</v>
      </c>
      <c r="AC4" s="80" t="s">
        <v>161</v>
      </c>
      <c r="AD4" s="80"/>
      <c r="AE4" s="80"/>
      <c r="AF4" s="80">
        <v>1</v>
      </c>
      <c r="AG4" s="112" t="s">
        <v>203</v>
      </c>
      <c r="AH4" s="89"/>
      <c r="AI4" s="102" t="s">
        <v>128</v>
      </c>
      <c r="AJ4" s="103">
        <v>0</v>
      </c>
      <c r="AK4" s="103">
        <v>0</v>
      </c>
      <c r="AL4" s="103">
        <v>0</v>
      </c>
      <c r="AM4" s="103">
        <v>0</v>
      </c>
      <c r="AN4" s="103">
        <v>0</v>
      </c>
      <c r="AO4" s="103">
        <v>0</v>
      </c>
      <c r="AP4" s="103">
        <v>0</v>
      </c>
      <c r="AQ4" s="103">
        <v>0</v>
      </c>
      <c r="AR4" s="103">
        <v>0</v>
      </c>
      <c r="AS4" s="103">
        <v>30</v>
      </c>
      <c r="AT4" s="103">
        <v>56</v>
      </c>
      <c r="AU4" s="103">
        <v>0</v>
      </c>
      <c r="AV4" s="105">
        <f>AJ4+AK4+AL4+AM4+AN4+AO4+AP4+AQ4+AR4+AS4+AT4</f>
        <v>86</v>
      </c>
      <c r="AW4" s="80"/>
    </row>
    <row r="5" spans="2:49" s="109" customFormat="1" ht="31.5" x14ac:dyDescent="0.25">
      <c r="B5" s="80">
        <v>2</v>
      </c>
      <c r="C5" s="89" t="s">
        <v>242</v>
      </c>
      <c r="D5" s="89"/>
      <c r="E5" s="85"/>
      <c r="F5" s="85"/>
      <c r="G5" s="85"/>
      <c r="H5" s="85"/>
      <c r="I5" s="85"/>
      <c r="J5" s="85"/>
      <c r="K5" s="85"/>
      <c r="L5" s="85"/>
      <c r="M5" s="85"/>
      <c r="N5" s="85"/>
      <c r="O5" s="85"/>
      <c r="P5" s="85"/>
      <c r="Q5" s="85"/>
      <c r="R5" s="85"/>
      <c r="S5" s="85"/>
      <c r="T5" s="98"/>
      <c r="U5" s="80">
        <v>2</v>
      </c>
      <c r="V5" s="89" t="s">
        <v>162</v>
      </c>
      <c r="W5" s="85"/>
      <c r="X5" s="85"/>
      <c r="Y5" s="85"/>
      <c r="Z5" s="98"/>
      <c r="AA5" s="80">
        <v>2</v>
      </c>
      <c r="AB5" s="85" t="s">
        <v>163</v>
      </c>
      <c r="AC5" s="80" t="s">
        <v>161</v>
      </c>
      <c r="AD5" s="80"/>
      <c r="AE5" s="80"/>
      <c r="AF5" s="80">
        <v>2</v>
      </c>
      <c r="AG5" s="112" t="s">
        <v>204</v>
      </c>
      <c r="AH5" s="80"/>
      <c r="AI5" s="102" t="s">
        <v>128</v>
      </c>
      <c r="AJ5" s="103"/>
      <c r="AK5" s="103"/>
      <c r="AL5" s="103"/>
      <c r="AM5" s="103"/>
      <c r="AN5" s="103"/>
      <c r="AO5" s="103"/>
      <c r="AP5" s="103"/>
      <c r="AQ5" s="103"/>
      <c r="AR5" s="103"/>
      <c r="AS5" s="103"/>
      <c r="AT5" s="103"/>
      <c r="AU5" s="103"/>
      <c r="AV5" s="105">
        <f t="shared" ref="AV5:AV7" si="0">AJ5+AK5+AL5+AM5+AN5+AO5+AP5+AQ5+AR5+AS5+AT5</f>
        <v>0</v>
      </c>
      <c r="AW5" s="85"/>
    </row>
    <row r="6" spans="2:49" s="109" customFormat="1" ht="31.5" x14ac:dyDescent="0.25">
      <c r="B6" s="80">
        <v>3</v>
      </c>
      <c r="C6" s="89" t="s">
        <v>243</v>
      </c>
      <c r="D6" s="89"/>
      <c r="E6" s="85"/>
      <c r="F6" s="85"/>
      <c r="G6" s="85"/>
      <c r="H6" s="85"/>
      <c r="I6" s="85"/>
      <c r="J6" s="85"/>
      <c r="K6" s="85"/>
      <c r="L6" s="85"/>
      <c r="M6" s="85"/>
      <c r="N6" s="85"/>
      <c r="O6" s="85"/>
      <c r="P6" s="85"/>
      <c r="Q6" s="85"/>
      <c r="R6" s="85"/>
      <c r="S6" s="85"/>
      <c r="T6" s="98"/>
      <c r="U6" s="80">
        <v>3</v>
      </c>
      <c r="V6" s="89" t="s">
        <v>164</v>
      </c>
      <c r="W6" s="85"/>
      <c r="X6" s="85"/>
      <c r="Y6" s="85"/>
      <c r="Z6" s="98"/>
      <c r="AA6" s="80">
        <v>3</v>
      </c>
      <c r="AB6" s="85" t="s">
        <v>165</v>
      </c>
      <c r="AC6" s="80" t="s">
        <v>161</v>
      </c>
      <c r="AD6" s="80"/>
      <c r="AE6" s="80"/>
      <c r="AF6" s="113">
        <v>3</v>
      </c>
      <c r="AG6" s="112" t="s">
        <v>205</v>
      </c>
      <c r="AH6" s="114"/>
      <c r="AI6" s="102" t="s">
        <v>128</v>
      </c>
      <c r="AJ6" s="103">
        <v>168</v>
      </c>
      <c r="AK6" s="103">
        <v>0</v>
      </c>
      <c r="AL6" s="103">
        <v>0</v>
      </c>
      <c r="AM6" s="103">
        <v>0</v>
      </c>
      <c r="AN6" s="103">
        <v>0</v>
      </c>
      <c r="AO6" s="103">
        <v>0</v>
      </c>
      <c r="AP6" s="103">
        <v>0</v>
      </c>
      <c r="AQ6" s="103">
        <v>0</v>
      </c>
      <c r="AR6" s="103">
        <v>0</v>
      </c>
      <c r="AS6" s="103">
        <v>0</v>
      </c>
      <c r="AT6" s="103">
        <v>0</v>
      </c>
      <c r="AU6" s="103">
        <v>0</v>
      </c>
      <c r="AV6" s="105">
        <f t="shared" si="0"/>
        <v>168</v>
      </c>
      <c r="AW6" s="114"/>
    </row>
    <row r="7" spans="2:49" s="109" customFormat="1" ht="31.5" x14ac:dyDescent="0.25">
      <c r="B7" s="80">
        <v>4</v>
      </c>
      <c r="C7" s="89" t="s">
        <v>244</v>
      </c>
      <c r="D7" s="89"/>
      <c r="E7" s="85"/>
      <c r="F7" s="85"/>
      <c r="G7" s="85"/>
      <c r="H7" s="85"/>
      <c r="I7" s="85"/>
      <c r="J7" s="85"/>
      <c r="K7" s="85"/>
      <c r="L7" s="85"/>
      <c r="M7" s="85"/>
      <c r="N7" s="85"/>
      <c r="O7" s="85"/>
      <c r="P7" s="85"/>
      <c r="Q7" s="85"/>
      <c r="R7" s="85"/>
      <c r="S7" s="85"/>
      <c r="T7" s="98"/>
      <c r="U7" s="80">
        <v>4</v>
      </c>
      <c r="V7" s="89" t="s">
        <v>166</v>
      </c>
      <c r="W7" s="85"/>
      <c r="X7" s="85"/>
      <c r="Y7" s="85"/>
      <c r="Z7" s="98"/>
      <c r="AA7" s="80">
        <v>4</v>
      </c>
      <c r="AB7" s="85" t="s">
        <v>167</v>
      </c>
      <c r="AC7" s="80" t="s">
        <v>161</v>
      </c>
      <c r="AD7" s="80"/>
      <c r="AE7" s="80"/>
      <c r="AF7" s="113">
        <v>4</v>
      </c>
      <c r="AG7" s="112" t="s">
        <v>206</v>
      </c>
      <c r="AH7" s="114"/>
      <c r="AI7" s="102" t="s">
        <v>128</v>
      </c>
      <c r="AJ7" s="103">
        <v>270</v>
      </c>
      <c r="AK7" s="103">
        <v>0</v>
      </c>
      <c r="AL7" s="103">
        <v>0</v>
      </c>
      <c r="AM7" s="103">
        <v>0</v>
      </c>
      <c r="AN7" s="103">
        <v>0</v>
      </c>
      <c r="AO7" s="103">
        <v>0</v>
      </c>
      <c r="AP7" s="103">
        <v>0</v>
      </c>
      <c r="AQ7" s="103">
        <v>0</v>
      </c>
      <c r="AR7" s="103">
        <v>0</v>
      </c>
      <c r="AS7" s="103">
        <v>0</v>
      </c>
      <c r="AT7" s="103">
        <v>0</v>
      </c>
      <c r="AU7" s="103">
        <v>0</v>
      </c>
      <c r="AV7" s="105">
        <f t="shared" si="0"/>
        <v>270</v>
      </c>
      <c r="AW7" s="114"/>
    </row>
    <row r="8" spans="2:49" s="109" customFormat="1" ht="31.5" x14ac:dyDescent="0.25">
      <c r="B8" s="80">
        <v>5</v>
      </c>
      <c r="C8" s="89" t="s">
        <v>245</v>
      </c>
      <c r="D8" s="89"/>
      <c r="E8" s="85"/>
      <c r="F8" s="85"/>
      <c r="G8" s="85"/>
      <c r="H8" s="85"/>
      <c r="I8" s="85"/>
      <c r="J8" s="85"/>
      <c r="K8" s="85"/>
      <c r="L8" s="85"/>
      <c r="M8" s="85"/>
      <c r="N8" s="85"/>
      <c r="O8" s="85"/>
      <c r="P8" s="85"/>
      <c r="Q8" s="85"/>
      <c r="R8" s="85"/>
      <c r="S8" s="85"/>
      <c r="T8" s="98"/>
      <c r="U8" s="80">
        <v>5</v>
      </c>
      <c r="V8" s="89" t="s">
        <v>168</v>
      </c>
      <c r="W8" s="85"/>
      <c r="X8" s="85"/>
      <c r="Y8" s="85"/>
      <c r="Z8" s="98"/>
      <c r="AA8" s="80">
        <v>5</v>
      </c>
      <c r="AB8" s="85" t="s">
        <v>169</v>
      </c>
      <c r="AC8" s="80" t="s">
        <v>161</v>
      </c>
      <c r="AD8" s="80"/>
      <c r="AE8" s="80"/>
      <c r="AG8" s="137" t="s">
        <v>250</v>
      </c>
      <c r="AH8" s="110"/>
      <c r="AI8" s="110"/>
      <c r="AJ8" s="110"/>
      <c r="AK8" s="110"/>
      <c r="AL8" s="110"/>
      <c r="AM8" s="110"/>
      <c r="AN8" s="110"/>
      <c r="AO8" s="110"/>
      <c r="AP8" s="110"/>
      <c r="AQ8" s="110"/>
      <c r="AR8" s="110"/>
      <c r="AS8" s="110"/>
      <c r="AT8" s="110"/>
      <c r="AU8" s="110"/>
      <c r="AV8" s="110"/>
      <c r="AW8" s="110"/>
    </row>
    <row r="9" spans="2:49" s="109" customFormat="1" ht="31.5" x14ac:dyDescent="0.25">
      <c r="B9" s="80">
        <v>6</v>
      </c>
      <c r="C9" s="89" t="s">
        <v>246</v>
      </c>
      <c r="D9" s="89"/>
      <c r="E9" s="85"/>
      <c r="F9" s="85"/>
      <c r="G9" s="85"/>
      <c r="H9" s="85"/>
      <c r="I9" s="85"/>
      <c r="J9" s="85"/>
      <c r="K9" s="85"/>
      <c r="L9" s="85"/>
      <c r="M9" s="85"/>
      <c r="N9" s="85"/>
      <c r="O9" s="85"/>
      <c r="P9" s="85"/>
      <c r="Q9" s="85"/>
      <c r="R9" s="85"/>
      <c r="S9" s="85"/>
      <c r="T9" s="98"/>
      <c r="U9" s="80">
        <v>6</v>
      </c>
      <c r="V9" s="89" t="s">
        <v>170</v>
      </c>
      <c r="W9" s="85"/>
      <c r="X9" s="85"/>
      <c r="Y9" s="85"/>
      <c r="Z9" s="98"/>
      <c r="AA9" s="80">
        <v>6</v>
      </c>
      <c r="AB9" s="85" t="s">
        <v>247</v>
      </c>
      <c r="AC9" s="80" t="s">
        <v>161</v>
      </c>
      <c r="AD9" s="80"/>
      <c r="AE9" s="80"/>
      <c r="AF9" s="110"/>
      <c r="AG9" s="115"/>
      <c r="AH9" s="115"/>
      <c r="AI9" s="110"/>
      <c r="AJ9" s="110"/>
      <c r="AK9" s="110"/>
      <c r="AL9" s="110"/>
      <c r="AM9" s="110"/>
      <c r="AN9" s="110"/>
      <c r="AO9" s="110"/>
      <c r="AP9" s="110"/>
      <c r="AQ9" s="110"/>
      <c r="AR9" s="110"/>
      <c r="AS9" s="110"/>
      <c r="AT9" s="110"/>
      <c r="AU9" s="110"/>
      <c r="AV9" s="110"/>
      <c r="AW9" s="110"/>
    </row>
    <row r="10" spans="2:49" s="109" customFormat="1" ht="18.75" x14ac:dyDescent="0.25">
      <c r="B10" s="80">
        <v>7</v>
      </c>
      <c r="C10" s="89" t="s">
        <v>248</v>
      </c>
      <c r="D10" s="89"/>
      <c r="E10" s="85"/>
      <c r="F10" s="85"/>
      <c r="G10" s="85"/>
      <c r="H10" s="85"/>
      <c r="I10" s="85"/>
      <c r="J10" s="85"/>
      <c r="K10" s="85"/>
      <c r="L10" s="85"/>
      <c r="M10" s="85"/>
      <c r="N10" s="85"/>
      <c r="O10" s="85"/>
      <c r="P10" s="85"/>
      <c r="Q10" s="85"/>
      <c r="R10" s="85"/>
      <c r="S10" s="85"/>
      <c r="T10" s="98"/>
      <c r="U10" s="80">
        <v>7</v>
      </c>
      <c r="V10" s="89" t="s">
        <v>171</v>
      </c>
      <c r="W10" s="85"/>
      <c r="X10" s="85"/>
      <c r="Y10" s="85"/>
      <c r="Z10" s="98"/>
      <c r="AA10" s="80">
        <v>7</v>
      </c>
      <c r="AB10" s="85" t="s">
        <v>172</v>
      </c>
      <c r="AC10" s="80"/>
      <c r="AD10" s="80"/>
      <c r="AE10" s="80"/>
      <c r="AF10" s="110"/>
      <c r="AG10" s="115"/>
      <c r="AH10" s="115"/>
      <c r="AI10" s="110"/>
      <c r="AJ10" s="110"/>
      <c r="AK10" s="110"/>
      <c r="AL10" s="110"/>
      <c r="AM10" s="110"/>
      <c r="AN10" s="110"/>
      <c r="AO10" s="110"/>
      <c r="AP10" s="110"/>
      <c r="AQ10" s="110"/>
      <c r="AR10" s="110"/>
      <c r="AS10" s="110"/>
      <c r="AT10" s="110"/>
      <c r="AU10" s="110"/>
      <c r="AV10" s="110"/>
      <c r="AW10" s="110"/>
    </row>
    <row r="11" spans="2:49" s="109" customFormat="1" x14ac:dyDescent="0.25">
      <c r="B11" s="80">
        <v>8</v>
      </c>
      <c r="C11" s="80" t="s">
        <v>48</v>
      </c>
      <c r="D11" s="80"/>
      <c r="E11" s="85"/>
      <c r="F11" s="85"/>
      <c r="G11" s="85"/>
      <c r="H11" s="85"/>
      <c r="I11" s="85"/>
      <c r="J11" s="85"/>
      <c r="K11" s="85"/>
      <c r="L11" s="85"/>
      <c r="M11" s="85"/>
      <c r="N11" s="85"/>
      <c r="O11" s="85"/>
      <c r="P11" s="85"/>
      <c r="Q11" s="85"/>
      <c r="R11" s="85"/>
      <c r="S11" s="85"/>
      <c r="T11" s="98"/>
      <c r="U11" s="80">
        <v>8</v>
      </c>
      <c r="V11" s="89" t="s">
        <v>173</v>
      </c>
      <c r="W11" s="85"/>
      <c r="X11" s="85"/>
      <c r="Y11" s="85"/>
      <c r="Z11" s="98"/>
      <c r="AA11" s="80">
        <v>8</v>
      </c>
      <c r="AB11" s="85" t="s">
        <v>174</v>
      </c>
      <c r="AC11" s="80"/>
      <c r="AD11" s="80"/>
      <c r="AE11" s="80"/>
      <c r="AF11" s="110"/>
      <c r="AG11" s="115"/>
      <c r="AH11" s="115"/>
      <c r="AI11" s="110"/>
      <c r="AJ11" s="110"/>
      <c r="AK11" s="110"/>
      <c r="AL11" s="110"/>
      <c r="AM11" s="110"/>
      <c r="AN11" s="110"/>
      <c r="AO11" s="110"/>
      <c r="AP11" s="110"/>
      <c r="AQ11" s="110"/>
      <c r="AR11" s="110"/>
      <c r="AS11" s="110"/>
      <c r="AT11" s="110"/>
      <c r="AU11" s="110"/>
      <c r="AV11" s="110"/>
      <c r="AW11" s="110"/>
    </row>
    <row r="12" spans="2:49" ht="31.5" x14ac:dyDescent="0.25">
      <c r="C12" s="137" t="s">
        <v>252</v>
      </c>
      <c r="U12" s="80">
        <v>9</v>
      </c>
      <c r="V12" s="89" t="s">
        <v>175</v>
      </c>
      <c r="W12" s="85"/>
      <c r="X12" s="85"/>
      <c r="Y12" s="85"/>
      <c r="Z12" s="98"/>
      <c r="AA12" s="80">
        <v>9</v>
      </c>
      <c r="AB12" s="85" t="s">
        <v>176</v>
      </c>
      <c r="AC12" s="80"/>
      <c r="AD12" s="80"/>
      <c r="AE12" s="80"/>
      <c r="AG12" s="115"/>
      <c r="AH12" s="115"/>
    </row>
    <row r="13" spans="2:49" x14ac:dyDescent="0.25">
      <c r="B13" s="108" t="s">
        <v>116</v>
      </c>
      <c r="U13" s="80">
        <v>10</v>
      </c>
      <c r="V13" s="80" t="s">
        <v>48</v>
      </c>
      <c r="W13" s="85"/>
      <c r="X13" s="85"/>
      <c r="Y13" s="85"/>
      <c r="Z13" s="98"/>
      <c r="AA13" s="80">
        <v>10</v>
      </c>
      <c r="AB13" s="85" t="s">
        <v>177</v>
      </c>
      <c r="AC13" s="80"/>
      <c r="AD13" s="80"/>
      <c r="AE13" s="80"/>
      <c r="AG13" s="115"/>
      <c r="AH13" s="115"/>
    </row>
    <row r="14" spans="2:49" x14ac:dyDescent="0.25">
      <c r="B14" s="109" t="s">
        <v>145</v>
      </c>
      <c r="AA14" s="80">
        <v>11</v>
      </c>
      <c r="AB14" s="85" t="s">
        <v>178</v>
      </c>
      <c r="AC14" s="80"/>
      <c r="AD14" s="80"/>
      <c r="AE14" s="80"/>
      <c r="AG14" s="115"/>
      <c r="AH14" s="115"/>
    </row>
    <row r="15" spans="2:49" ht="18.75" x14ac:dyDescent="0.25">
      <c r="C15" s="115" t="s">
        <v>241</v>
      </c>
      <c r="D15" s="115"/>
      <c r="E15" s="110" t="s">
        <v>149</v>
      </c>
      <c r="U15" s="108"/>
      <c r="AG15" s="115"/>
      <c r="AH15" s="115"/>
    </row>
    <row r="16" spans="2:49" ht="18.75" x14ac:dyDescent="0.25">
      <c r="C16" s="115" t="s">
        <v>242</v>
      </c>
      <c r="D16" s="115"/>
      <c r="E16" s="110" t="s">
        <v>150</v>
      </c>
      <c r="U16" s="109"/>
    </row>
    <row r="17" spans="3:5" ht="18.75" x14ac:dyDescent="0.25">
      <c r="C17" s="115" t="s">
        <v>243</v>
      </c>
      <c r="D17" s="115"/>
      <c r="E17" s="110" t="s">
        <v>151</v>
      </c>
    </row>
    <row r="18" spans="3:5" ht="18.75" x14ac:dyDescent="0.25">
      <c r="C18" s="115" t="s">
        <v>244</v>
      </c>
      <c r="D18" s="115"/>
      <c r="E18" s="110" t="s">
        <v>152</v>
      </c>
    </row>
    <row r="19" spans="3:5" ht="18.75" x14ac:dyDescent="0.25">
      <c r="C19" s="115" t="s">
        <v>245</v>
      </c>
      <c r="D19" s="115"/>
    </row>
    <row r="20" spans="3:5" ht="18.75" x14ac:dyDescent="0.25">
      <c r="C20" s="115" t="s">
        <v>246</v>
      </c>
      <c r="D20" s="115"/>
      <c r="E20" s="110" t="s">
        <v>153</v>
      </c>
    </row>
    <row r="21" spans="3:5" ht="18.75" x14ac:dyDescent="0.25">
      <c r="C21" s="115" t="s">
        <v>248</v>
      </c>
      <c r="D21" s="115"/>
      <c r="E21" s="110" t="s">
        <v>154</v>
      </c>
    </row>
  </sheetData>
  <mergeCells count="14">
    <mergeCell ref="AF1:AW1"/>
    <mergeCell ref="AI2:AI3"/>
    <mergeCell ref="AJ2:AV2"/>
    <mergeCell ref="C2:C3"/>
    <mergeCell ref="AG2:AG3"/>
    <mergeCell ref="S2:S3"/>
    <mergeCell ref="AW2:AW3"/>
    <mergeCell ref="B1:S1"/>
    <mergeCell ref="U1:Y1"/>
    <mergeCell ref="AA1:AE1"/>
    <mergeCell ref="E2:E3"/>
    <mergeCell ref="F2:R2"/>
    <mergeCell ref="D2:D3"/>
    <mergeCell ref="AH2:AH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B1:AV45"/>
  <sheetViews>
    <sheetView topLeftCell="AE1" zoomScale="70" zoomScaleNormal="70" workbookViewId="0">
      <selection activeCell="AH3" sqref="AH3"/>
    </sheetView>
  </sheetViews>
  <sheetFormatPr defaultColWidth="9.140625" defaultRowHeight="15.75" x14ac:dyDescent="0.25"/>
  <cols>
    <col min="1" max="1" width="2.5703125" style="41" customWidth="1"/>
    <col min="2" max="2" width="21.42578125" style="41" bestFit="1" customWidth="1"/>
    <col min="3" max="3" width="12.85546875" style="41" customWidth="1"/>
    <col min="4" max="14" width="11" style="41" customWidth="1"/>
    <col min="15" max="15" width="12.140625" style="41" customWidth="1"/>
    <col min="16" max="16" width="14" style="41" customWidth="1"/>
    <col min="17" max="17" width="2.85546875" style="41" customWidth="1"/>
    <col min="18" max="18" width="23.140625" style="41" bestFit="1" customWidth="1"/>
    <col min="19" max="19" width="12.85546875" style="41" customWidth="1"/>
    <col min="20" max="28" width="11" style="41" customWidth="1"/>
    <col min="29" max="29" width="12.28515625" style="41" bestFit="1" customWidth="1"/>
    <col min="30" max="30" width="11.85546875" style="41" bestFit="1" customWidth="1"/>
    <col min="31" max="31" width="12.140625" style="41" customWidth="1"/>
    <col min="32" max="32" width="14" style="41" customWidth="1"/>
    <col min="33" max="33" width="3.42578125" style="41" customWidth="1"/>
    <col min="34" max="34" width="21" style="41" bestFit="1" customWidth="1"/>
    <col min="35" max="35" width="14.140625" style="41" bestFit="1" customWidth="1"/>
    <col min="36" max="46" width="11" style="41" customWidth="1"/>
    <col min="47" max="47" width="12.140625" style="41" customWidth="1"/>
    <col min="48" max="48" width="14" style="41" customWidth="1"/>
    <col min="49" max="16384" width="9.140625" style="41"/>
  </cols>
  <sheetData>
    <row r="1" spans="2:48" ht="23.25" customHeight="1" x14ac:dyDescent="0.25">
      <c r="B1" s="174" t="s">
        <v>207</v>
      </c>
      <c r="C1" s="174"/>
      <c r="D1" s="174"/>
      <c r="E1" s="174"/>
      <c r="F1" s="174"/>
      <c r="G1" s="174"/>
      <c r="H1" s="174"/>
      <c r="I1" s="174"/>
      <c r="J1" s="174"/>
      <c r="K1" s="174"/>
      <c r="L1" s="174"/>
      <c r="M1" s="174"/>
      <c r="N1" s="174"/>
      <c r="O1" s="174"/>
      <c r="P1" s="174"/>
      <c r="R1" s="174" t="s">
        <v>208</v>
      </c>
      <c r="S1" s="174"/>
      <c r="T1" s="174"/>
      <c r="U1" s="174"/>
      <c r="V1" s="174"/>
      <c r="W1" s="174"/>
      <c r="X1" s="174"/>
      <c r="Y1" s="174"/>
      <c r="Z1" s="174"/>
      <c r="AA1" s="174"/>
      <c r="AB1" s="174"/>
      <c r="AC1" s="174"/>
      <c r="AD1" s="174"/>
      <c r="AE1" s="174"/>
      <c r="AF1" s="174"/>
      <c r="AH1" s="174" t="s">
        <v>209</v>
      </c>
      <c r="AI1" s="174"/>
      <c r="AJ1" s="174"/>
      <c r="AK1" s="174"/>
      <c r="AL1" s="174"/>
      <c r="AM1" s="174"/>
      <c r="AN1" s="174"/>
      <c r="AO1" s="174"/>
      <c r="AP1" s="174"/>
      <c r="AQ1" s="174"/>
      <c r="AR1" s="174"/>
      <c r="AS1" s="174"/>
      <c r="AT1" s="174"/>
      <c r="AU1" s="174"/>
      <c r="AV1" s="174"/>
    </row>
    <row r="2" spans="2:48" s="29" customFormat="1" x14ac:dyDescent="0.25">
      <c r="B2" s="31" t="s">
        <v>134</v>
      </c>
      <c r="C2" s="31" t="s">
        <v>3</v>
      </c>
      <c r="D2" s="60" t="s">
        <v>102</v>
      </c>
      <c r="E2" s="60" t="s">
        <v>103</v>
      </c>
      <c r="F2" s="60" t="s">
        <v>104</v>
      </c>
      <c r="G2" s="60" t="s">
        <v>105</v>
      </c>
      <c r="H2" s="60" t="s">
        <v>106</v>
      </c>
      <c r="I2" s="60" t="s">
        <v>107</v>
      </c>
      <c r="J2" s="60" t="s">
        <v>108</v>
      </c>
      <c r="K2" s="60" t="s">
        <v>109</v>
      </c>
      <c r="L2" s="60" t="s">
        <v>110</v>
      </c>
      <c r="M2" s="60" t="s">
        <v>111</v>
      </c>
      <c r="N2" s="60" t="s">
        <v>112</v>
      </c>
      <c r="O2" s="60" t="s">
        <v>113</v>
      </c>
      <c r="P2" s="60" t="s">
        <v>78</v>
      </c>
      <c r="R2" s="31" t="s">
        <v>134</v>
      </c>
      <c r="S2" s="31" t="s">
        <v>3</v>
      </c>
      <c r="T2" s="60" t="s">
        <v>102</v>
      </c>
      <c r="U2" s="60" t="s">
        <v>103</v>
      </c>
      <c r="V2" s="60" t="s">
        <v>104</v>
      </c>
      <c r="W2" s="60" t="s">
        <v>105</v>
      </c>
      <c r="X2" s="60" t="s">
        <v>106</v>
      </c>
      <c r="Y2" s="60" t="s">
        <v>107</v>
      </c>
      <c r="Z2" s="60" t="s">
        <v>108</v>
      </c>
      <c r="AA2" s="60" t="s">
        <v>109</v>
      </c>
      <c r="AB2" s="60" t="s">
        <v>110</v>
      </c>
      <c r="AC2" s="60" t="s">
        <v>111</v>
      </c>
      <c r="AD2" s="60" t="s">
        <v>112</v>
      </c>
      <c r="AE2" s="60" t="s">
        <v>113</v>
      </c>
      <c r="AF2" s="60" t="s">
        <v>78</v>
      </c>
      <c r="AH2" s="31" t="s">
        <v>134</v>
      </c>
      <c r="AI2" s="31" t="s">
        <v>3</v>
      </c>
      <c r="AJ2" s="60" t="s">
        <v>102</v>
      </c>
      <c r="AK2" s="60" t="s">
        <v>103</v>
      </c>
      <c r="AL2" s="60" t="s">
        <v>104</v>
      </c>
      <c r="AM2" s="60" t="s">
        <v>105</v>
      </c>
      <c r="AN2" s="60" t="s">
        <v>106</v>
      </c>
      <c r="AO2" s="60" t="s">
        <v>107</v>
      </c>
      <c r="AP2" s="60" t="s">
        <v>108</v>
      </c>
      <c r="AQ2" s="60" t="s">
        <v>109</v>
      </c>
      <c r="AR2" s="60" t="s">
        <v>110</v>
      </c>
      <c r="AS2" s="60" t="s">
        <v>111</v>
      </c>
      <c r="AT2" s="60" t="s">
        <v>112</v>
      </c>
      <c r="AU2" s="60" t="s">
        <v>113</v>
      </c>
      <c r="AV2" s="60" t="s">
        <v>78</v>
      </c>
    </row>
    <row r="3" spans="2:48" ht="18.75" x14ac:dyDescent="0.25">
      <c r="B3" s="59" t="s">
        <v>135</v>
      </c>
      <c r="C3" s="61" t="s">
        <v>141</v>
      </c>
      <c r="D3" s="59"/>
      <c r="E3" s="59"/>
      <c r="F3" s="59"/>
      <c r="G3" s="59"/>
      <c r="H3" s="59"/>
      <c r="I3" s="59"/>
      <c r="J3" s="59"/>
      <c r="K3" s="59"/>
      <c r="L3" s="59"/>
      <c r="M3" s="59"/>
      <c r="N3" s="59"/>
      <c r="O3" s="59"/>
      <c r="P3" s="59"/>
      <c r="R3" s="59" t="s">
        <v>135</v>
      </c>
      <c r="S3" s="61" t="s">
        <v>141</v>
      </c>
      <c r="T3" s="59"/>
      <c r="U3" s="59"/>
      <c r="V3" s="59"/>
      <c r="W3" s="59"/>
      <c r="X3" s="59"/>
      <c r="Y3" s="59"/>
      <c r="Z3" s="59"/>
      <c r="AA3" s="59"/>
      <c r="AB3" s="59"/>
      <c r="AC3" s="59"/>
      <c r="AD3" s="59"/>
      <c r="AE3" s="59"/>
      <c r="AF3" s="59"/>
      <c r="AH3" s="59" t="s">
        <v>47</v>
      </c>
      <c r="AI3" s="61" t="s">
        <v>141</v>
      </c>
      <c r="AJ3" s="59"/>
      <c r="AK3" s="59"/>
      <c r="AL3" s="59"/>
      <c r="AM3" s="59"/>
      <c r="AN3" s="59"/>
      <c r="AO3" s="59"/>
      <c r="AP3" s="59"/>
      <c r="AQ3" s="59"/>
      <c r="AR3" s="59"/>
      <c r="AS3" s="59"/>
      <c r="AT3" s="59"/>
      <c r="AU3" s="59"/>
      <c r="AV3" s="59"/>
    </row>
    <row r="4" spans="2:48" ht="18.75" x14ac:dyDescent="0.25">
      <c r="B4" s="59" t="s">
        <v>47</v>
      </c>
      <c r="C4" s="61" t="s">
        <v>141</v>
      </c>
      <c r="D4" s="59"/>
      <c r="E4" s="59"/>
      <c r="F4" s="59"/>
      <c r="G4" s="59"/>
      <c r="H4" s="59"/>
      <c r="I4" s="59"/>
      <c r="J4" s="59"/>
      <c r="K4" s="59"/>
      <c r="L4" s="59"/>
      <c r="M4" s="59"/>
      <c r="N4" s="59"/>
      <c r="O4" s="59"/>
      <c r="P4" s="59"/>
      <c r="R4" s="59" t="s">
        <v>47</v>
      </c>
      <c r="S4" s="61" t="s">
        <v>141</v>
      </c>
      <c r="T4" s="59"/>
      <c r="U4" s="59"/>
      <c r="V4" s="59"/>
      <c r="W4" s="59"/>
      <c r="X4" s="59"/>
      <c r="Y4" s="59"/>
      <c r="Z4" s="59"/>
      <c r="AA4" s="59"/>
      <c r="AB4" s="59"/>
      <c r="AC4" s="59"/>
      <c r="AD4" s="59"/>
      <c r="AE4" s="59"/>
      <c r="AF4" s="59"/>
    </row>
    <row r="5" spans="2:48" ht="19.5" x14ac:dyDescent="0.25">
      <c r="AH5" s="174" t="s">
        <v>191</v>
      </c>
      <c r="AI5" s="174"/>
      <c r="AJ5" s="174"/>
      <c r="AK5" s="174"/>
      <c r="AL5" s="174"/>
      <c r="AM5" s="174"/>
      <c r="AN5" s="174"/>
      <c r="AO5" s="174"/>
      <c r="AP5" s="174"/>
      <c r="AQ5" s="174"/>
      <c r="AR5" s="174"/>
      <c r="AS5" s="174"/>
      <c r="AT5" s="174"/>
      <c r="AU5" s="174"/>
      <c r="AV5" s="174"/>
    </row>
    <row r="6" spans="2:48" ht="23.25" customHeight="1" x14ac:dyDescent="0.25">
      <c r="B6" s="174" t="s">
        <v>191</v>
      </c>
      <c r="C6" s="174"/>
      <c r="D6" s="174"/>
      <c r="E6" s="174"/>
      <c r="F6" s="174"/>
      <c r="G6" s="174"/>
      <c r="H6" s="174"/>
      <c r="I6" s="174"/>
      <c r="J6" s="174"/>
      <c r="K6" s="174"/>
      <c r="L6" s="174"/>
      <c r="M6" s="174"/>
      <c r="N6" s="174"/>
      <c r="O6" s="174"/>
      <c r="P6" s="174"/>
      <c r="R6" s="174" t="s">
        <v>191</v>
      </c>
      <c r="S6" s="174"/>
      <c r="T6" s="174"/>
      <c r="U6" s="174"/>
      <c r="V6" s="174"/>
      <c r="W6" s="174"/>
      <c r="X6" s="174"/>
      <c r="Y6" s="174"/>
      <c r="Z6" s="174"/>
      <c r="AA6" s="174"/>
      <c r="AB6" s="174"/>
      <c r="AC6" s="174"/>
      <c r="AD6" s="174"/>
      <c r="AE6" s="174"/>
      <c r="AF6" s="174"/>
      <c r="AH6" s="31" t="s">
        <v>134</v>
      </c>
      <c r="AI6" s="31" t="s">
        <v>3</v>
      </c>
      <c r="AJ6" s="60" t="s">
        <v>102</v>
      </c>
      <c r="AK6" s="60" t="s">
        <v>103</v>
      </c>
      <c r="AL6" s="60" t="s">
        <v>104</v>
      </c>
      <c r="AM6" s="60" t="s">
        <v>105</v>
      </c>
      <c r="AN6" s="60" t="s">
        <v>106</v>
      </c>
      <c r="AO6" s="60" t="s">
        <v>107</v>
      </c>
      <c r="AP6" s="60" t="s">
        <v>108</v>
      </c>
      <c r="AQ6" s="60" t="s">
        <v>109</v>
      </c>
      <c r="AR6" s="60" t="s">
        <v>110</v>
      </c>
      <c r="AS6" s="60" t="s">
        <v>111</v>
      </c>
      <c r="AT6" s="60" t="s">
        <v>112</v>
      </c>
      <c r="AU6" s="60" t="s">
        <v>113</v>
      </c>
      <c r="AV6" s="60" t="s">
        <v>78</v>
      </c>
    </row>
    <row r="7" spans="2:48" s="29" customFormat="1" x14ac:dyDescent="0.25">
      <c r="B7" s="31" t="s">
        <v>134</v>
      </c>
      <c r="C7" s="31" t="s">
        <v>3</v>
      </c>
      <c r="D7" s="60" t="s">
        <v>102</v>
      </c>
      <c r="E7" s="60" t="s">
        <v>103</v>
      </c>
      <c r="F7" s="60" t="s">
        <v>104</v>
      </c>
      <c r="G7" s="60" t="s">
        <v>105</v>
      </c>
      <c r="H7" s="60" t="s">
        <v>106</v>
      </c>
      <c r="I7" s="60" t="s">
        <v>107</v>
      </c>
      <c r="J7" s="60" t="s">
        <v>108</v>
      </c>
      <c r="K7" s="60" t="s">
        <v>109</v>
      </c>
      <c r="L7" s="60" t="s">
        <v>110</v>
      </c>
      <c r="M7" s="60" t="s">
        <v>111</v>
      </c>
      <c r="N7" s="60" t="s">
        <v>112</v>
      </c>
      <c r="O7" s="60" t="s">
        <v>113</v>
      </c>
      <c r="P7" s="60" t="s">
        <v>78</v>
      </c>
      <c r="R7" s="31" t="s">
        <v>134</v>
      </c>
      <c r="S7" s="31" t="s">
        <v>3</v>
      </c>
      <c r="T7" s="60" t="s">
        <v>102</v>
      </c>
      <c r="U7" s="60" t="s">
        <v>103</v>
      </c>
      <c r="V7" s="60" t="s">
        <v>104</v>
      </c>
      <c r="W7" s="60" t="s">
        <v>105</v>
      </c>
      <c r="X7" s="60" t="s">
        <v>106</v>
      </c>
      <c r="Y7" s="60" t="s">
        <v>107</v>
      </c>
      <c r="Z7" s="60" t="s">
        <v>108</v>
      </c>
      <c r="AA7" s="60" t="s">
        <v>109</v>
      </c>
      <c r="AB7" s="60" t="s">
        <v>110</v>
      </c>
      <c r="AC7" s="60" t="s">
        <v>111</v>
      </c>
      <c r="AD7" s="60" t="s">
        <v>112</v>
      </c>
      <c r="AE7" s="60" t="s">
        <v>113</v>
      </c>
      <c r="AF7" s="60" t="s">
        <v>78</v>
      </c>
      <c r="AH7" s="59" t="s">
        <v>47</v>
      </c>
      <c r="AI7" s="61" t="s">
        <v>136</v>
      </c>
      <c r="AJ7" s="59"/>
      <c r="AK7" s="59"/>
      <c r="AL7" s="59"/>
      <c r="AM7" s="59"/>
      <c r="AN7" s="59"/>
      <c r="AO7" s="59"/>
      <c r="AP7" s="59"/>
      <c r="AQ7" s="59"/>
      <c r="AR7" s="59"/>
      <c r="AS7" s="59"/>
      <c r="AT7" s="59"/>
      <c r="AU7" s="59"/>
      <c r="AV7" s="59"/>
    </row>
    <row r="8" spans="2:48" x14ac:dyDescent="0.25">
      <c r="B8" s="59" t="s">
        <v>135</v>
      </c>
      <c r="C8" s="61" t="s">
        <v>136</v>
      </c>
      <c r="D8" s="59"/>
      <c r="E8" s="59"/>
      <c r="F8" s="59"/>
      <c r="G8" s="59"/>
      <c r="H8" s="59"/>
      <c r="I8" s="59"/>
      <c r="J8" s="59"/>
      <c r="K8" s="59"/>
      <c r="L8" s="59"/>
      <c r="M8" s="59"/>
      <c r="N8" s="59"/>
      <c r="O8" s="59"/>
      <c r="P8" s="59"/>
      <c r="R8" s="59" t="s">
        <v>135</v>
      </c>
      <c r="S8" s="61" t="s">
        <v>136</v>
      </c>
      <c r="T8" s="59"/>
      <c r="U8" s="59"/>
      <c r="V8" s="59"/>
      <c r="W8" s="59"/>
      <c r="X8" s="59"/>
      <c r="Y8" s="59"/>
      <c r="Z8" s="59"/>
      <c r="AA8" s="59"/>
      <c r="AB8" s="59"/>
      <c r="AC8" s="59"/>
      <c r="AD8" s="59"/>
      <c r="AE8" s="59"/>
      <c r="AF8" s="59"/>
    </row>
    <row r="9" spans="2:48" ht="19.5" x14ac:dyDescent="0.25">
      <c r="B9" s="59" t="s">
        <v>47</v>
      </c>
      <c r="C9" s="61" t="s">
        <v>136</v>
      </c>
      <c r="D9" s="59"/>
      <c r="E9" s="59"/>
      <c r="F9" s="59"/>
      <c r="G9" s="59"/>
      <c r="H9" s="59"/>
      <c r="I9" s="59"/>
      <c r="J9" s="59"/>
      <c r="K9" s="59"/>
      <c r="L9" s="59"/>
      <c r="M9" s="59"/>
      <c r="N9" s="59"/>
      <c r="O9" s="59"/>
      <c r="P9" s="59"/>
      <c r="R9" s="59" t="s">
        <v>47</v>
      </c>
      <c r="S9" s="61" t="s">
        <v>136</v>
      </c>
      <c r="T9" s="59"/>
      <c r="U9" s="59"/>
      <c r="V9" s="59"/>
      <c r="W9" s="59"/>
      <c r="X9" s="59"/>
      <c r="Y9" s="59"/>
      <c r="Z9" s="59"/>
      <c r="AA9" s="59"/>
      <c r="AB9" s="59"/>
      <c r="AC9" s="59"/>
      <c r="AD9" s="59"/>
      <c r="AE9" s="59"/>
      <c r="AF9" s="59"/>
      <c r="AH9" s="174" t="s">
        <v>192</v>
      </c>
      <c r="AI9" s="174"/>
      <c r="AJ9" s="174"/>
      <c r="AK9" s="174"/>
      <c r="AL9" s="174"/>
      <c r="AM9" s="174"/>
      <c r="AN9" s="174"/>
      <c r="AO9" s="174"/>
      <c r="AP9" s="174"/>
      <c r="AQ9" s="174"/>
      <c r="AR9" s="174"/>
      <c r="AS9" s="174"/>
      <c r="AT9" s="174"/>
      <c r="AU9" s="174"/>
      <c r="AV9" s="174"/>
    </row>
    <row r="10" spans="2:48" x14ac:dyDescent="0.25">
      <c r="AH10" s="31" t="s">
        <v>134</v>
      </c>
      <c r="AI10" s="31" t="s">
        <v>3</v>
      </c>
      <c r="AJ10" s="60" t="s">
        <v>102</v>
      </c>
      <c r="AK10" s="60" t="s">
        <v>103</v>
      </c>
      <c r="AL10" s="60" t="s">
        <v>104</v>
      </c>
      <c r="AM10" s="60" t="s">
        <v>105</v>
      </c>
      <c r="AN10" s="60" t="s">
        <v>106</v>
      </c>
      <c r="AO10" s="60" t="s">
        <v>107</v>
      </c>
      <c r="AP10" s="60" t="s">
        <v>108</v>
      </c>
      <c r="AQ10" s="60" t="s">
        <v>109</v>
      </c>
      <c r="AR10" s="60" t="s">
        <v>110</v>
      </c>
      <c r="AS10" s="60" t="s">
        <v>111</v>
      </c>
      <c r="AT10" s="60" t="s">
        <v>112</v>
      </c>
      <c r="AU10" s="60" t="s">
        <v>113</v>
      </c>
      <c r="AV10" s="60" t="s">
        <v>78</v>
      </c>
    </row>
    <row r="11" spans="2:48" ht="23.25" customHeight="1" x14ac:dyDescent="0.25">
      <c r="B11" s="174" t="s">
        <v>192</v>
      </c>
      <c r="C11" s="174"/>
      <c r="D11" s="174"/>
      <c r="E11" s="174"/>
      <c r="F11" s="174"/>
      <c r="G11" s="174"/>
      <c r="H11" s="174"/>
      <c r="I11" s="174"/>
      <c r="J11" s="174"/>
      <c r="K11" s="174"/>
      <c r="L11" s="174"/>
      <c r="M11" s="174"/>
      <c r="N11" s="174"/>
      <c r="O11" s="174"/>
      <c r="P11" s="174"/>
      <c r="R11" s="174" t="s">
        <v>192</v>
      </c>
      <c r="S11" s="174"/>
      <c r="T11" s="174"/>
      <c r="U11" s="174"/>
      <c r="V11" s="174"/>
      <c r="W11" s="174"/>
      <c r="X11" s="174"/>
      <c r="Y11" s="174"/>
      <c r="Z11" s="174"/>
      <c r="AA11" s="174"/>
      <c r="AB11" s="174"/>
      <c r="AC11" s="174"/>
      <c r="AD11" s="174"/>
      <c r="AE11" s="174"/>
      <c r="AF11" s="174"/>
      <c r="AH11" s="59" t="s">
        <v>47</v>
      </c>
      <c r="AI11" s="61" t="s">
        <v>142</v>
      </c>
      <c r="AJ11" s="59"/>
      <c r="AK11" s="59"/>
      <c r="AL11" s="59"/>
      <c r="AM11" s="59"/>
      <c r="AN11" s="59"/>
      <c r="AO11" s="59"/>
      <c r="AP11" s="59"/>
      <c r="AQ11" s="59"/>
      <c r="AR11" s="59"/>
      <c r="AS11" s="59"/>
      <c r="AT11" s="59"/>
      <c r="AU11" s="59"/>
      <c r="AV11" s="59"/>
    </row>
    <row r="12" spans="2:48" s="29" customFormat="1" x14ac:dyDescent="0.25">
      <c r="B12" s="31" t="s">
        <v>134</v>
      </c>
      <c r="C12" s="31" t="s">
        <v>3</v>
      </c>
      <c r="D12" s="60" t="s">
        <v>102</v>
      </c>
      <c r="E12" s="60" t="s">
        <v>103</v>
      </c>
      <c r="F12" s="60" t="s">
        <v>104</v>
      </c>
      <c r="G12" s="60" t="s">
        <v>105</v>
      </c>
      <c r="H12" s="60" t="s">
        <v>106</v>
      </c>
      <c r="I12" s="60" t="s">
        <v>107</v>
      </c>
      <c r="J12" s="60" t="s">
        <v>108</v>
      </c>
      <c r="K12" s="60" t="s">
        <v>109</v>
      </c>
      <c r="L12" s="60" t="s">
        <v>110</v>
      </c>
      <c r="M12" s="60" t="s">
        <v>111</v>
      </c>
      <c r="N12" s="60" t="s">
        <v>112</v>
      </c>
      <c r="O12" s="60" t="s">
        <v>113</v>
      </c>
      <c r="P12" s="60" t="s">
        <v>78</v>
      </c>
      <c r="R12" s="31" t="s">
        <v>134</v>
      </c>
      <c r="S12" s="31" t="s">
        <v>3</v>
      </c>
      <c r="T12" s="60" t="s">
        <v>102</v>
      </c>
      <c r="U12" s="60" t="s">
        <v>103</v>
      </c>
      <c r="V12" s="60" t="s">
        <v>104</v>
      </c>
      <c r="W12" s="60" t="s">
        <v>105</v>
      </c>
      <c r="X12" s="60" t="s">
        <v>106</v>
      </c>
      <c r="Y12" s="60" t="s">
        <v>107</v>
      </c>
      <c r="Z12" s="60" t="s">
        <v>108</v>
      </c>
      <c r="AA12" s="60" t="s">
        <v>109</v>
      </c>
      <c r="AB12" s="60" t="s">
        <v>110</v>
      </c>
      <c r="AC12" s="60" t="s">
        <v>111</v>
      </c>
      <c r="AD12" s="60" t="s">
        <v>112</v>
      </c>
      <c r="AE12" s="60" t="s">
        <v>113</v>
      </c>
      <c r="AF12" s="60" t="s">
        <v>78</v>
      </c>
      <c r="AH12" s="41"/>
      <c r="AI12" s="41"/>
      <c r="AJ12" s="41"/>
      <c r="AK12" s="41"/>
      <c r="AL12" s="41"/>
      <c r="AM12" s="41"/>
      <c r="AN12" s="41"/>
      <c r="AO12" s="41"/>
      <c r="AP12" s="41"/>
      <c r="AQ12" s="41"/>
      <c r="AR12" s="41"/>
      <c r="AS12" s="41"/>
      <c r="AT12" s="41"/>
      <c r="AU12" s="41"/>
      <c r="AV12" s="41"/>
    </row>
    <row r="13" spans="2:48" ht="19.5" x14ac:dyDescent="0.25">
      <c r="B13" s="59" t="s">
        <v>135</v>
      </c>
      <c r="C13" s="61" t="s">
        <v>136</v>
      </c>
      <c r="D13" s="59"/>
      <c r="E13" s="59"/>
      <c r="F13" s="59"/>
      <c r="G13" s="59"/>
      <c r="H13" s="59"/>
      <c r="I13" s="59"/>
      <c r="J13" s="59"/>
      <c r="K13" s="59"/>
      <c r="L13" s="59"/>
      <c r="M13" s="59"/>
      <c r="N13" s="59"/>
      <c r="O13" s="59"/>
      <c r="P13" s="59"/>
      <c r="R13" s="59" t="s">
        <v>135</v>
      </c>
      <c r="S13" s="61" t="s">
        <v>136</v>
      </c>
      <c r="T13" s="59"/>
      <c r="U13" s="59"/>
      <c r="V13" s="59"/>
      <c r="W13" s="59"/>
      <c r="X13" s="59"/>
      <c r="Y13" s="59"/>
      <c r="Z13" s="59"/>
      <c r="AA13" s="59"/>
      <c r="AB13" s="59"/>
      <c r="AC13" s="59"/>
      <c r="AD13" s="59"/>
      <c r="AE13" s="59"/>
      <c r="AF13" s="59"/>
      <c r="AH13" s="174" t="s">
        <v>193</v>
      </c>
      <c r="AI13" s="174"/>
      <c r="AJ13" s="174"/>
      <c r="AK13" s="174"/>
      <c r="AL13" s="174"/>
      <c r="AM13" s="174"/>
      <c r="AN13" s="174"/>
      <c r="AO13" s="174"/>
      <c r="AP13" s="174"/>
      <c r="AQ13" s="174"/>
      <c r="AR13" s="174"/>
      <c r="AS13" s="174"/>
      <c r="AT13" s="174"/>
      <c r="AU13" s="174"/>
      <c r="AV13" s="174"/>
    </row>
    <row r="14" spans="2:48" ht="18.75" x14ac:dyDescent="0.25">
      <c r="B14" s="59" t="s">
        <v>47</v>
      </c>
      <c r="C14" s="61" t="s">
        <v>142</v>
      </c>
      <c r="D14" s="59"/>
      <c r="E14" s="59"/>
      <c r="F14" s="59"/>
      <c r="G14" s="59"/>
      <c r="H14" s="59"/>
      <c r="I14" s="59"/>
      <c r="J14" s="59"/>
      <c r="K14" s="59"/>
      <c r="L14" s="59"/>
      <c r="M14" s="59"/>
      <c r="N14" s="59"/>
      <c r="O14" s="59"/>
      <c r="P14" s="59"/>
      <c r="R14" s="59" t="s">
        <v>47</v>
      </c>
      <c r="S14" s="61" t="s">
        <v>142</v>
      </c>
      <c r="T14" s="59"/>
      <c r="U14" s="59"/>
      <c r="V14" s="59"/>
      <c r="W14" s="59"/>
      <c r="X14" s="59"/>
      <c r="Y14" s="59"/>
      <c r="Z14" s="59"/>
      <c r="AA14" s="59"/>
      <c r="AB14" s="59"/>
      <c r="AC14" s="59"/>
      <c r="AD14" s="59"/>
      <c r="AE14" s="59"/>
      <c r="AF14" s="59"/>
      <c r="AH14" s="31" t="s">
        <v>134</v>
      </c>
      <c r="AI14" s="31" t="s">
        <v>3</v>
      </c>
      <c r="AJ14" s="60" t="s">
        <v>102</v>
      </c>
      <c r="AK14" s="60" t="s">
        <v>103</v>
      </c>
      <c r="AL14" s="60" t="s">
        <v>104</v>
      </c>
      <c r="AM14" s="60" t="s">
        <v>105</v>
      </c>
      <c r="AN14" s="60" t="s">
        <v>106</v>
      </c>
      <c r="AO14" s="60" t="s">
        <v>107</v>
      </c>
      <c r="AP14" s="60" t="s">
        <v>108</v>
      </c>
      <c r="AQ14" s="60" t="s">
        <v>109</v>
      </c>
      <c r="AR14" s="60" t="s">
        <v>110</v>
      </c>
      <c r="AS14" s="60" t="s">
        <v>111</v>
      </c>
      <c r="AT14" s="60" t="s">
        <v>112</v>
      </c>
      <c r="AU14" s="60" t="s">
        <v>113</v>
      </c>
      <c r="AV14" s="60" t="s">
        <v>78</v>
      </c>
    </row>
    <row r="15" spans="2:48" ht="18.75" x14ac:dyDescent="0.25">
      <c r="AH15" s="59" t="s">
        <v>47</v>
      </c>
      <c r="AI15" s="61" t="s">
        <v>142</v>
      </c>
      <c r="AJ15" s="59"/>
      <c r="AK15" s="59"/>
      <c r="AL15" s="59"/>
      <c r="AM15" s="59"/>
      <c r="AN15" s="59"/>
      <c r="AO15" s="59"/>
      <c r="AP15" s="59"/>
      <c r="AQ15" s="59"/>
      <c r="AR15" s="59"/>
      <c r="AS15" s="59"/>
      <c r="AT15" s="59"/>
      <c r="AU15" s="59"/>
      <c r="AV15" s="59"/>
    </row>
    <row r="16" spans="2:48" ht="23.25" customHeight="1" x14ac:dyDescent="0.25">
      <c r="B16" s="174" t="s">
        <v>193</v>
      </c>
      <c r="C16" s="174"/>
      <c r="D16" s="174"/>
      <c r="E16" s="174"/>
      <c r="F16" s="174"/>
      <c r="G16" s="174"/>
      <c r="H16" s="174"/>
      <c r="I16" s="174"/>
      <c r="J16" s="174"/>
      <c r="K16" s="174"/>
      <c r="L16" s="174"/>
      <c r="M16" s="174"/>
      <c r="N16" s="174"/>
      <c r="O16" s="174"/>
      <c r="P16" s="174"/>
      <c r="R16" s="174" t="s">
        <v>193</v>
      </c>
      <c r="S16" s="174"/>
      <c r="T16" s="174"/>
      <c r="U16" s="174"/>
      <c r="V16" s="174"/>
      <c r="W16" s="174"/>
      <c r="X16" s="174"/>
      <c r="Y16" s="174"/>
      <c r="Z16" s="174"/>
      <c r="AA16" s="174"/>
      <c r="AB16" s="174"/>
      <c r="AC16" s="174"/>
      <c r="AD16" s="174"/>
      <c r="AE16" s="174"/>
      <c r="AF16" s="174"/>
      <c r="AH16" s="64"/>
      <c r="AI16" s="65"/>
      <c r="AJ16" s="64"/>
      <c r="AK16" s="64"/>
      <c r="AL16" s="64"/>
      <c r="AM16" s="64"/>
      <c r="AN16" s="64"/>
      <c r="AO16" s="64"/>
      <c r="AP16" s="64"/>
      <c r="AQ16" s="64"/>
      <c r="AR16" s="64"/>
      <c r="AS16" s="64"/>
      <c r="AT16" s="64"/>
      <c r="AU16" s="64"/>
      <c r="AV16" s="64"/>
    </row>
    <row r="17" spans="2:48" s="29" customFormat="1" ht="19.5" x14ac:dyDescent="0.25">
      <c r="B17" s="31" t="s">
        <v>134</v>
      </c>
      <c r="C17" s="31" t="s">
        <v>3</v>
      </c>
      <c r="D17" s="60" t="s">
        <v>102</v>
      </c>
      <c r="E17" s="60" t="s">
        <v>103</v>
      </c>
      <c r="F17" s="60" t="s">
        <v>104</v>
      </c>
      <c r="G17" s="60" t="s">
        <v>105</v>
      </c>
      <c r="H17" s="60" t="s">
        <v>106</v>
      </c>
      <c r="I17" s="60" t="s">
        <v>107</v>
      </c>
      <c r="J17" s="60" t="s">
        <v>108</v>
      </c>
      <c r="K17" s="60" t="s">
        <v>109</v>
      </c>
      <c r="L17" s="60" t="s">
        <v>110</v>
      </c>
      <c r="M17" s="60" t="s">
        <v>111</v>
      </c>
      <c r="N17" s="60" t="s">
        <v>112</v>
      </c>
      <c r="O17" s="60" t="s">
        <v>113</v>
      </c>
      <c r="P17" s="60" t="s">
        <v>78</v>
      </c>
      <c r="R17" s="31" t="s">
        <v>134</v>
      </c>
      <c r="S17" s="31" t="s">
        <v>3</v>
      </c>
      <c r="T17" s="60" t="s">
        <v>102</v>
      </c>
      <c r="U17" s="60" t="s">
        <v>103</v>
      </c>
      <c r="V17" s="60" t="s">
        <v>104</v>
      </c>
      <c r="W17" s="60" t="s">
        <v>105</v>
      </c>
      <c r="X17" s="60" t="s">
        <v>106</v>
      </c>
      <c r="Y17" s="60" t="s">
        <v>107</v>
      </c>
      <c r="Z17" s="60" t="s">
        <v>108</v>
      </c>
      <c r="AA17" s="60" t="s">
        <v>109</v>
      </c>
      <c r="AB17" s="60" t="s">
        <v>110</v>
      </c>
      <c r="AC17" s="60" t="s">
        <v>111</v>
      </c>
      <c r="AD17" s="60" t="s">
        <v>112</v>
      </c>
      <c r="AE17" s="60" t="s">
        <v>113</v>
      </c>
      <c r="AF17" s="60" t="s">
        <v>78</v>
      </c>
      <c r="AH17" s="174" t="s">
        <v>194</v>
      </c>
      <c r="AI17" s="174"/>
      <c r="AJ17" s="174"/>
      <c r="AK17" s="174"/>
      <c r="AL17" s="174"/>
      <c r="AM17" s="174"/>
      <c r="AN17" s="174"/>
      <c r="AO17" s="174"/>
      <c r="AP17" s="174"/>
      <c r="AQ17" s="174"/>
      <c r="AR17" s="174"/>
      <c r="AS17" s="174"/>
      <c r="AT17" s="174"/>
      <c r="AU17" s="174"/>
      <c r="AV17" s="174"/>
    </row>
    <row r="18" spans="2:48" x14ac:dyDescent="0.25">
      <c r="B18" s="59" t="s">
        <v>135</v>
      </c>
      <c r="C18" s="61" t="s">
        <v>136</v>
      </c>
      <c r="D18" s="59"/>
      <c r="E18" s="59"/>
      <c r="F18" s="59"/>
      <c r="G18" s="59"/>
      <c r="H18" s="59"/>
      <c r="I18" s="59"/>
      <c r="J18" s="59"/>
      <c r="K18" s="59"/>
      <c r="L18" s="59"/>
      <c r="M18" s="59"/>
      <c r="N18" s="59"/>
      <c r="O18" s="59"/>
      <c r="P18" s="59"/>
      <c r="R18" s="59" t="s">
        <v>135</v>
      </c>
      <c r="S18" s="61" t="s">
        <v>136</v>
      </c>
      <c r="T18" s="59"/>
      <c r="U18" s="59"/>
      <c r="V18" s="59"/>
      <c r="W18" s="59"/>
      <c r="X18" s="59"/>
      <c r="Y18" s="59"/>
      <c r="Z18" s="59"/>
      <c r="AA18" s="59"/>
      <c r="AB18" s="59"/>
      <c r="AC18" s="59"/>
      <c r="AD18" s="59"/>
      <c r="AE18" s="59"/>
      <c r="AF18" s="59"/>
      <c r="AH18" s="31" t="s">
        <v>134</v>
      </c>
      <c r="AI18" s="31" t="s">
        <v>3</v>
      </c>
      <c r="AJ18" s="60" t="s">
        <v>102</v>
      </c>
      <c r="AK18" s="60" t="s">
        <v>103</v>
      </c>
      <c r="AL18" s="60" t="s">
        <v>104</v>
      </c>
      <c r="AM18" s="60" t="s">
        <v>105</v>
      </c>
      <c r="AN18" s="60" t="s">
        <v>106</v>
      </c>
      <c r="AO18" s="60" t="s">
        <v>107</v>
      </c>
      <c r="AP18" s="60" t="s">
        <v>108</v>
      </c>
      <c r="AQ18" s="60" t="s">
        <v>109</v>
      </c>
      <c r="AR18" s="60" t="s">
        <v>110</v>
      </c>
      <c r="AS18" s="60" t="s">
        <v>111</v>
      </c>
      <c r="AT18" s="60" t="s">
        <v>112</v>
      </c>
      <c r="AU18" s="60" t="s">
        <v>113</v>
      </c>
      <c r="AV18" s="60" t="s">
        <v>78</v>
      </c>
    </row>
    <row r="19" spans="2:48" ht="18.75" x14ac:dyDescent="0.25">
      <c r="B19" s="59" t="s">
        <v>47</v>
      </c>
      <c r="C19" s="61" t="s">
        <v>142</v>
      </c>
      <c r="D19" s="59"/>
      <c r="E19" s="59"/>
      <c r="F19" s="59"/>
      <c r="G19" s="59"/>
      <c r="H19" s="59"/>
      <c r="I19" s="59"/>
      <c r="J19" s="59"/>
      <c r="K19" s="59"/>
      <c r="L19" s="59"/>
      <c r="M19" s="59"/>
      <c r="N19" s="59"/>
      <c r="O19" s="59"/>
      <c r="P19" s="59"/>
      <c r="R19" s="59" t="s">
        <v>47</v>
      </c>
      <c r="S19" s="61" t="s">
        <v>142</v>
      </c>
      <c r="T19" s="59"/>
      <c r="U19" s="59"/>
      <c r="V19" s="59"/>
      <c r="W19" s="59"/>
      <c r="X19" s="59"/>
      <c r="Y19" s="59"/>
      <c r="Z19" s="59"/>
      <c r="AA19" s="59"/>
      <c r="AB19" s="59"/>
      <c r="AC19" s="59"/>
      <c r="AD19" s="59"/>
      <c r="AE19" s="59"/>
      <c r="AF19" s="59"/>
      <c r="AH19" s="59" t="s">
        <v>47</v>
      </c>
      <c r="AI19" s="61" t="s">
        <v>142</v>
      </c>
      <c r="AJ19" s="59"/>
      <c r="AK19" s="59"/>
      <c r="AL19" s="59"/>
      <c r="AM19" s="59"/>
      <c r="AN19" s="59"/>
      <c r="AO19" s="59"/>
      <c r="AP19" s="59"/>
      <c r="AQ19" s="59"/>
      <c r="AR19" s="59"/>
      <c r="AS19" s="59"/>
      <c r="AT19" s="59"/>
      <c r="AU19" s="59"/>
      <c r="AV19" s="59"/>
    </row>
    <row r="20" spans="2:48" x14ac:dyDescent="0.25">
      <c r="B20" s="64"/>
      <c r="C20" s="65"/>
      <c r="D20" s="64"/>
      <c r="E20" s="64"/>
      <c r="F20" s="64"/>
      <c r="G20" s="64"/>
      <c r="H20" s="64"/>
      <c r="I20" s="64"/>
      <c r="J20" s="64"/>
      <c r="K20" s="64"/>
      <c r="L20" s="64"/>
      <c r="M20" s="64"/>
      <c r="N20" s="64"/>
      <c r="O20" s="64"/>
      <c r="P20" s="64"/>
      <c r="R20" s="64"/>
      <c r="S20" s="65"/>
      <c r="T20" s="64"/>
      <c r="U20" s="64"/>
      <c r="V20" s="64"/>
      <c r="W20" s="64"/>
      <c r="X20" s="64"/>
      <c r="Y20" s="64"/>
      <c r="Z20" s="64"/>
      <c r="AA20" s="64"/>
      <c r="AB20" s="64"/>
      <c r="AC20" s="64"/>
      <c r="AD20" s="64"/>
      <c r="AE20" s="64"/>
      <c r="AF20" s="64"/>
    </row>
    <row r="21" spans="2:48" ht="23.25" customHeight="1" x14ac:dyDescent="0.25">
      <c r="B21" s="174" t="s">
        <v>194</v>
      </c>
      <c r="C21" s="174"/>
      <c r="D21" s="174"/>
      <c r="E21" s="174"/>
      <c r="F21" s="174"/>
      <c r="G21" s="174"/>
      <c r="H21" s="174"/>
      <c r="I21" s="174"/>
      <c r="J21" s="174"/>
      <c r="K21" s="174"/>
      <c r="L21" s="174"/>
      <c r="M21" s="174"/>
      <c r="N21" s="174"/>
      <c r="O21" s="174"/>
      <c r="P21" s="174"/>
      <c r="R21" s="174" t="s">
        <v>194</v>
      </c>
      <c r="S21" s="174"/>
      <c r="T21" s="174"/>
      <c r="U21" s="174"/>
      <c r="V21" s="174"/>
      <c r="W21" s="174"/>
      <c r="X21" s="174"/>
      <c r="Y21" s="174"/>
      <c r="Z21" s="174"/>
      <c r="AA21" s="174"/>
      <c r="AB21" s="174"/>
      <c r="AC21" s="174"/>
      <c r="AD21" s="174"/>
      <c r="AE21" s="174"/>
      <c r="AF21" s="174"/>
      <c r="AH21" s="174" t="s">
        <v>210</v>
      </c>
      <c r="AI21" s="174"/>
      <c r="AJ21" s="174"/>
      <c r="AK21" s="174"/>
      <c r="AL21" s="174"/>
      <c r="AM21" s="174"/>
      <c r="AN21" s="174"/>
      <c r="AO21" s="174"/>
      <c r="AP21" s="174"/>
      <c r="AQ21" s="174"/>
      <c r="AR21" s="174"/>
      <c r="AS21" s="174"/>
      <c r="AT21" s="174"/>
      <c r="AU21" s="174"/>
      <c r="AV21" s="174"/>
    </row>
    <row r="22" spans="2:48" s="29" customFormat="1" x14ac:dyDescent="0.25">
      <c r="B22" s="31" t="s">
        <v>134</v>
      </c>
      <c r="C22" s="31" t="s">
        <v>3</v>
      </c>
      <c r="D22" s="60" t="s">
        <v>102</v>
      </c>
      <c r="E22" s="60" t="s">
        <v>103</v>
      </c>
      <c r="F22" s="60" t="s">
        <v>104</v>
      </c>
      <c r="G22" s="60" t="s">
        <v>105</v>
      </c>
      <c r="H22" s="60" t="s">
        <v>106</v>
      </c>
      <c r="I22" s="60" t="s">
        <v>107</v>
      </c>
      <c r="J22" s="60" t="s">
        <v>108</v>
      </c>
      <c r="K22" s="60" t="s">
        <v>109</v>
      </c>
      <c r="L22" s="60" t="s">
        <v>110</v>
      </c>
      <c r="M22" s="60" t="s">
        <v>111</v>
      </c>
      <c r="N22" s="60" t="s">
        <v>112</v>
      </c>
      <c r="O22" s="60" t="s">
        <v>113</v>
      </c>
      <c r="P22" s="60" t="s">
        <v>78</v>
      </c>
      <c r="R22" s="31" t="s">
        <v>134</v>
      </c>
      <c r="S22" s="31" t="s">
        <v>3</v>
      </c>
      <c r="T22" s="60" t="s">
        <v>102</v>
      </c>
      <c r="U22" s="60" t="s">
        <v>103</v>
      </c>
      <c r="V22" s="60" t="s">
        <v>104</v>
      </c>
      <c r="W22" s="60" t="s">
        <v>105</v>
      </c>
      <c r="X22" s="60" t="s">
        <v>106</v>
      </c>
      <c r="Y22" s="60" t="s">
        <v>107</v>
      </c>
      <c r="Z22" s="60" t="s">
        <v>108</v>
      </c>
      <c r="AA22" s="60" t="s">
        <v>109</v>
      </c>
      <c r="AB22" s="60" t="s">
        <v>110</v>
      </c>
      <c r="AC22" s="60" t="s">
        <v>111</v>
      </c>
      <c r="AD22" s="60" t="s">
        <v>112</v>
      </c>
      <c r="AE22" s="60" t="s">
        <v>113</v>
      </c>
      <c r="AF22" s="60" t="s">
        <v>78</v>
      </c>
      <c r="AH22" s="31" t="s">
        <v>134</v>
      </c>
      <c r="AI22" s="31" t="s">
        <v>3</v>
      </c>
      <c r="AJ22" s="60" t="s">
        <v>102</v>
      </c>
      <c r="AK22" s="60" t="s">
        <v>103</v>
      </c>
      <c r="AL22" s="60" t="s">
        <v>104</v>
      </c>
      <c r="AM22" s="60" t="s">
        <v>105</v>
      </c>
      <c r="AN22" s="60" t="s">
        <v>106</v>
      </c>
      <c r="AO22" s="60" t="s">
        <v>107</v>
      </c>
      <c r="AP22" s="60" t="s">
        <v>108</v>
      </c>
      <c r="AQ22" s="60" t="s">
        <v>109</v>
      </c>
      <c r="AR22" s="60" t="s">
        <v>110</v>
      </c>
      <c r="AS22" s="60" t="s">
        <v>111</v>
      </c>
      <c r="AT22" s="60" t="s">
        <v>112</v>
      </c>
      <c r="AU22" s="60" t="s">
        <v>113</v>
      </c>
      <c r="AV22" s="60" t="s">
        <v>78</v>
      </c>
    </row>
    <row r="23" spans="2:48" ht="18.75" x14ac:dyDescent="0.25">
      <c r="B23" s="59" t="s">
        <v>135</v>
      </c>
      <c r="C23" s="61" t="s">
        <v>136</v>
      </c>
      <c r="D23" s="59"/>
      <c r="E23" s="59"/>
      <c r="F23" s="59"/>
      <c r="G23" s="59"/>
      <c r="H23" s="59"/>
      <c r="I23" s="59"/>
      <c r="J23" s="59"/>
      <c r="K23" s="59"/>
      <c r="L23" s="59"/>
      <c r="M23" s="59"/>
      <c r="N23" s="59"/>
      <c r="O23" s="59"/>
      <c r="P23" s="59"/>
      <c r="R23" s="59" t="s">
        <v>135</v>
      </c>
      <c r="S23" s="61" t="s">
        <v>136</v>
      </c>
      <c r="T23" s="59"/>
      <c r="U23" s="59"/>
      <c r="V23" s="59"/>
      <c r="W23" s="59"/>
      <c r="X23" s="59"/>
      <c r="Y23" s="59"/>
      <c r="Z23" s="59"/>
      <c r="AA23" s="59"/>
      <c r="AB23" s="59"/>
      <c r="AC23" s="59"/>
      <c r="AD23" s="59"/>
      <c r="AE23" s="59"/>
      <c r="AF23" s="59"/>
      <c r="AH23" s="59" t="s">
        <v>47</v>
      </c>
      <c r="AI23" s="61" t="s">
        <v>142</v>
      </c>
      <c r="AJ23" s="59"/>
      <c r="AK23" s="59"/>
      <c r="AL23" s="59"/>
      <c r="AM23" s="59"/>
      <c r="AN23" s="59"/>
      <c r="AO23" s="59"/>
      <c r="AP23" s="59"/>
      <c r="AQ23" s="59"/>
      <c r="AR23" s="59"/>
      <c r="AS23" s="59"/>
      <c r="AT23" s="59"/>
      <c r="AU23" s="59"/>
      <c r="AV23" s="59"/>
    </row>
    <row r="24" spans="2:48" ht="18.75" x14ac:dyDescent="0.25">
      <c r="B24" s="59" t="s">
        <v>47</v>
      </c>
      <c r="C24" s="61" t="s">
        <v>142</v>
      </c>
      <c r="D24" s="59"/>
      <c r="E24" s="59"/>
      <c r="F24" s="59"/>
      <c r="G24" s="59"/>
      <c r="H24" s="59"/>
      <c r="I24" s="59"/>
      <c r="J24" s="59"/>
      <c r="K24" s="59"/>
      <c r="L24" s="59"/>
      <c r="M24" s="59"/>
      <c r="N24" s="59"/>
      <c r="O24" s="59"/>
      <c r="P24" s="59"/>
      <c r="R24" s="59" t="s">
        <v>47</v>
      </c>
      <c r="S24" s="61" t="s">
        <v>142</v>
      </c>
      <c r="T24" s="59"/>
      <c r="U24" s="59"/>
      <c r="V24" s="59"/>
      <c r="W24" s="59"/>
      <c r="X24" s="59"/>
      <c r="Y24" s="59"/>
      <c r="Z24" s="59"/>
      <c r="AA24" s="59"/>
      <c r="AB24" s="59"/>
      <c r="AC24" s="59"/>
      <c r="AD24" s="59"/>
      <c r="AE24" s="59"/>
      <c r="AF24" s="59"/>
    </row>
    <row r="25" spans="2:48" ht="22.5" x14ac:dyDescent="0.25">
      <c r="AH25" s="185" t="s">
        <v>140</v>
      </c>
      <c r="AI25" s="186"/>
      <c r="AJ25" s="186"/>
      <c r="AK25" s="186"/>
      <c r="AL25" s="186"/>
      <c r="AM25" s="186"/>
      <c r="AN25" s="186"/>
      <c r="AO25" s="186"/>
      <c r="AP25" s="186"/>
      <c r="AQ25" s="186"/>
      <c r="AR25" s="186"/>
      <c r="AS25" s="186"/>
      <c r="AT25" s="186"/>
      <c r="AU25" s="186"/>
      <c r="AV25" s="187"/>
    </row>
    <row r="26" spans="2:48" ht="23.25" customHeight="1" x14ac:dyDescent="0.25">
      <c r="B26" s="174" t="s">
        <v>210</v>
      </c>
      <c r="C26" s="174"/>
      <c r="D26" s="174"/>
      <c r="E26" s="174"/>
      <c r="F26" s="174"/>
      <c r="G26" s="174"/>
      <c r="H26" s="174"/>
      <c r="I26" s="174"/>
      <c r="J26" s="174"/>
      <c r="K26" s="174"/>
      <c r="L26" s="174"/>
      <c r="M26" s="174"/>
      <c r="N26" s="174"/>
      <c r="O26" s="174"/>
      <c r="P26" s="174"/>
      <c r="R26" s="174" t="s">
        <v>210</v>
      </c>
      <c r="S26" s="174"/>
      <c r="T26" s="174"/>
      <c r="U26" s="174"/>
      <c r="V26" s="174"/>
      <c r="W26" s="174"/>
      <c r="X26" s="174"/>
      <c r="Y26" s="174"/>
      <c r="Z26" s="174"/>
      <c r="AA26" s="174"/>
      <c r="AB26" s="174"/>
      <c r="AC26" s="174"/>
      <c r="AD26" s="174"/>
      <c r="AE26" s="174"/>
      <c r="AF26" s="174"/>
      <c r="AH26" s="31" t="s">
        <v>137</v>
      </c>
      <c r="AI26" s="31" t="s">
        <v>138</v>
      </c>
      <c r="AJ26" s="60" t="s">
        <v>102</v>
      </c>
      <c r="AK26" s="60" t="s">
        <v>103</v>
      </c>
      <c r="AL26" s="60" t="s">
        <v>104</v>
      </c>
      <c r="AM26" s="60" t="s">
        <v>105</v>
      </c>
      <c r="AN26" s="60" t="s">
        <v>106</v>
      </c>
      <c r="AO26" s="60" t="s">
        <v>107</v>
      </c>
      <c r="AP26" s="60" t="s">
        <v>108</v>
      </c>
      <c r="AQ26" s="60" t="s">
        <v>109</v>
      </c>
      <c r="AR26" s="60" t="s">
        <v>110</v>
      </c>
      <c r="AS26" s="60" t="s">
        <v>111</v>
      </c>
      <c r="AT26" s="60" t="s">
        <v>112</v>
      </c>
      <c r="AU26" s="60" t="s">
        <v>113</v>
      </c>
      <c r="AV26" s="60" t="s">
        <v>78</v>
      </c>
    </row>
    <row r="27" spans="2:48" s="29" customFormat="1" ht="18.75" x14ac:dyDescent="0.25">
      <c r="B27" s="31" t="s">
        <v>134</v>
      </c>
      <c r="C27" s="31" t="s">
        <v>3</v>
      </c>
      <c r="D27" s="60" t="s">
        <v>102</v>
      </c>
      <c r="E27" s="60" t="s">
        <v>103</v>
      </c>
      <c r="F27" s="60" t="s">
        <v>104</v>
      </c>
      <c r="G27" s="60" t="s">
        <v>105</v>
      </c>
      <c r="H27" s="60" t="s">
        <v>106</v>
      </c>
      <c r="I27" s="60" t="s">
        <v>107</v>
      </c>
      <c r="J27" s="60" t="s">
        <v>108</v>
      </c>
      <c r="K27" s="60" t="s">
        <v>109</v>
      </c>
      <c r="L27" s="60" t="s">
        <v>110</v>
      </c>
      <c r="M27" s="60" t="s">
        <v>111</v>
      </c>
      <c r="N27" s="60" t="s">
        <v>112</v>
      </c>
      <c r="O27" s="60" t="s">
        <v>113</v>
      </c>
      <c r="P27" s="60" t="s">
        <v>78</v>
      </c>
      <c r="R27" s="31" t="s">
        <v>134</v>
      </c>
      <c r="S27" s="31" t="s">
        <v>3</v>
      </c>
      <c r="T27" s="60" t="s">
        <v>102</v>
      </c>
      <c r="U27" s="60" t="s">
        <v>103</v>
      </c>
      <c r="V27" s="60" t="s">
        <v>104</v>
      </c>
      <c r="W27" s="60" t="s">
        <v>105</v>
      </c>
      <c r="X27" s="60" t="s">
        <v>106</v>
      </c>
      <c r="Y27" s="60" t="s">
        <v>107</v>
      </c>
      <c r="Z27" s="60" t="s">
        <v>108</v>
      </c>
      <c r="AA27" s="60" t="s">
        <v>109</v>
      </c>
      <c r="AB27" s="60" t="s">
        <v>110</v>
      </c>
      <c r="AC27" s="60" t="s">
        <v>111</v>
      </c>
      <c r="AD27" s="60" t="s">
        <v>112</v>
      </c>
      <c r="AE27" s="60" t="s">
        <v>113</v>
      </c>
      <c r="AF27" s="60" t="s">
        <v>78</v>
      </c>
      <c r="AH27" s="62" t="s">
        <v>139</v>
      </c>
      <c r="AI27" s="61" t="s">
        <v>143</v>
      </c>
      <c r="AJ27" s="59"/>
      <c r="AK27" s="59"/>
      <c r="AL27" s="59"/>
      <c r="AM27" s="59"/>
      <c r="AN27" s="59"/>
      <c r="AO27" s="59"/>
      <c r="AP27" s="59"/>
      <c r="AQ27" s="59"/>
      <c r="AR27" s="59"/>
      <c r="AS27" s="59"/>
      <c r="AT27" s="59"/>
      <c r="AU27" s="59"/>
      <c r="AV27" s="59"/>
    </row>
    <row r="28" spans="2:48" x14ac:dyDescent="0.25">
      <c r="B28" s="59" t="s">
        <v>135</v>
      </c>
      <c r="C28" s="61" t="s">
        <v>136</v>
      </c>
      <c r="D28" s="59"/>
      <c r="E28" s="59"/>
      <c r="F28" s="59"/>
      <c r="G28" s="59"/>
      <c r="H28" s="59"/>
      <c r="I28" s="59"/>
      <c r="J28" s="59"/>
      <c r="K28" s="59"/>
      <c r="L28" s="59"/>
      <c r="M28" s="59"/>
      <c r="N28" s="59"/>
      <c r="O28" s="59"/>
      <c r="P28" s="59"/>
      <c r="R28" s="59" t="s">
        <v>135</v>
      </c>
      <c r="S28" s="61" t="s">
        <v>136</v>
      </c>
      <c r="T28" s="59"/>
      <c r="U28" s="59"/>
      <c r="V28" s="59"/>
      <c r="W28" s="59"/>
      <c r="X28" s="59"/>
      <c r="Y28" s="59"/>
      <c r="Z28" s="59"/>
      <c r="AA28" s="59"/>
      <c r="AB28" s="59"/>
      <c r="AC28" s="59"/>
      <c r="AD28" s="59"/>
      <c r="AE28" s="59"/>
      <c r="AF28" s="59"/>
    </row>
    <row r="29" spans="2:48" ht="18.75" x14ac:dyDescent="0.25">
      <c r="B29" s="59" t="s">
        <v>47</v>
      </c>
      <c r="C29" s="61" t="s">
        <v>142</v>
      </c>
      <c r="D29" s="59"/>
      <c r="E29" s="59"/>
      <c r="F29" s="59"/>
      <c r="G29" s="59"/>
      <c r="H29" s="59"/>
      <c r="I29" s="59"/>
      <c r="J29" s="59"/>
      <c r="K29" s="59"/>
      <c r="L29" s="59"/>
      <c r="M29" s="59"/>
      <c r="N29" s="59"/>
      <c r="O29" s="59"/>
      <c r="P29" s="59"/>
      <c r="R29" s="59" t="s">
        <v>47</v>
      </c>
      <c r="S29" s="61" t="s">
        <v>142</v>
      </c>
      <c r="T29" s="59"/>
      <c r="U29" s="59"/>
      <c r="V29" s="59"/>
      <c r="W29" s="59"/>
      <c r="X29" s="59"/>
      <c r="Y29" s="59"/>
      <c r="Z29" s="59"/>
      <c r="AA29" s="59"/>
      <c r="AB29" s="59"/>
      <c r="AC29" s="59"/>
      <c r="AD29" s="59"/>
      <c r="AE29" s="59"/>
      <c r="AF29" s="59"/>
    </row>
    <row r="31" spans="2:48" ht="23.25" customHeight="1" x14ac:dyDescent="0.25">
      <c r="B31" s="185" t="s">
        <v>140</v>
      </c>
      <c r="C31" s="186"/>
      <c r="D31" s="186"/>
      <c r="E31" s="186"/>
      <c r="F31" s="186"/>
      <c r="G31" s="186"/>
      <c r="H31" s="186"/>
      <c r="I31" s="186"/>
      <c r="J31" s="186"/>
      <c r="K31" s="186"/>
      <c r="L31" s="186"/>
      <c r="M31" s="186"/>
      <c r="N31" s="186"/>
      <c r="O31" s="186"/>
      <c r="P31" s="187"/>
      <c r="R31" s="185" t="s">
        <v>140</v>
      </c>
      <c r="S31" s="186"/>
      <c r="T31" s="186"/>
      <c r="U31" s="186"/>
      <c r="V31" s="186"/>
      <c r="W31" s="186"/>
      <c r="X31" s="186"/>
      <c r="Y31" s="186"/>
      <c r="Z31" s="186"/>
      <c r="AA31" s="186"/>
      <c r="AB31" s="186"/>
      <c r="AC31" s="186"/>
      <c r="AD31" s="186"/>
      <c r="AE31" s="186"/>
      <c r="AF31" s="187"/>
    </row>
    <row r="32" spans="2:48" s="29" customFormat="1" x14ac:dyDescent="0.25">
      <c r="B32" s="31" t="s">
        <v>137</v>
      </c>
      <c r="C32" s="31" t="s">
        <v>138</v>
      </c>
      <c r="D32" s="60" t="s">
        <v>102</v>
      </c>
      <c r="E32" s="60" t="s">
        <v>103</v>
      </c>
      <c r="F32" s="60" t="s">
        <v>104</v>
      </c>
      <c r="G32" s="60" t="s">
        <v>105</v>
      </c>
      <c r="H32" s="60" t="s">
        <v>106</v>
      </c>
      <c r="I32" s="60" t="s">
        <v>107</v>
      </c>
      <c r="J32" s="60" t="s">
        <v>108</v>
      </c>
      <c r="K32" s="60" t="s">
        <v>109</v>
      </c>
      <c r="L32" s="60" t="s">
        <v>110</v>
      </c>
      <c r="M32" s="60" t="s">
        <v>111</v>
      </c>
      <c r="N32" s="60" t="s">
        <v>112</v>
      </c>
      <c r="O32" s="60" t="s">
        <v>113</v>
      </c>
      <c r="P32" s="60" t="s">
        <v>78</v>
      </c>
      <c r="R32" s="31" t="s">
        <v>137</v>
      </c>
      <c r="S32" s="31" t="s">
        <v>138</v>
      </c>
      <c r="T32" s="60" t="s">
        <v>102</v>
      </c>
      <c r="U32" s="60" t="s">
        <v>103</v>
      </c>
      <c r="V32" s="60" t="s">
        <v>104</v>
      </c>
      <c r="W32" s="60" t="s">
        <v>105</v>
      </c>
      <c r="X32" s="60" t="s">
        <v>106</v>
      </c>
      <c r="Y32" s="60" t="s">
        <v>107</v>
      </c>
      <c r="Z32" s="60" t="s">
        <v>108</v>
      </c>
      <c r="AA32" s="60" t="s">
        <v>109</v>
      </c>
      <c r="AB32" s="60" t="s">
        <v>110</v>
      </c>
      <c r="AC32" s="60" t="s">
        <v>111</v>
      </c>
      <c r="AD32" s="60" t="s">
        <v>112</v>
      </c>
      <c r="AE32" s="60" t="s">
        <v>113</v>
      </c>
      <c r="AF32" s="60" t="s">
        <v>78</v>
      </c>
      <c r="AH32" s="41"/>
      <c r="AI32" s="41"/>
      <c r="AJ32" s="41"/>
      <c r="AK32" s="41"/>
      <c r="AL32" s="41"/>
      <c r="AM32" s="41"/>
      <c r="AN32" s="41"/>
      <c r="AO32" s="41"/>
      <c r="AP32" s="41"/>
      <c r="AQ32" s="41"/>
      <c r="AR32" s="41"/>
      <c r="AS32" s="41"/>
      <c r="AT32" s="41"/>
      <c r="AU32" s="41"/>
      <c r="AV32" s="41"/>
    </row>
    <row r="33" spans="2:36" ht="18.75" x14ac:dyDescent="0.25">
      <c r="B33" s="62" t="s">
        <v>139</v>
      </c>
      <c r="C33" s="61" t="s">
        <v>143</v>
      </c>
      <c r="D33" s="59"/>
      <c r="E33" s="59"/>
      <c r="F33" s="59"/>
      <c r="G33" s="59"/>
      <c r="H33" s="59"/>
      <c r="I33" s="59"/>
      <c r="J33" s="59"/>
      <c r="K33" s="59"/>
      <c r="L33" s="59"/>
      <c r="M33" s="59"/>
      <c r="N33" s="59"/>
      <c r="O33" s="59"/>
      <c r="P33" s="59"/>
      <c r="R33" s="62" t="s">
        <v>139</v>
      </c>
      <c r="S33" s="61" t="s">
        <v>143</v>
      </c>
      <c r="T33" s="59"/>
      <c r="U33" s="59"/>
      <c r="V33" s="59"/>
      <c r="W33" s="59"/>
      <c r="X33" s="59"/>
      <c r="Y33" s="59"/>
      <c r="Z33" s="59"/>
      <c r="AA33" s="59"/>
      <c r="AB33" s="59"/>
      <c r="AC33" s="59"/>
      <c r="AD33" s="59"/>
      <c r="AE33" s="59"/>
      <c r="AF33" s="59"/>
    </row>
    <row r="36" spans="2:36" x14ac:dyDescent="0.25">
      <c r="B36" s="183" t="s">
        <v>211</v>
      </c>
      <c r="C36" s="184"/>
      <c r="D36" s="184"/>
      <c r="E36" s="184"/>
      <c r="F36" s="184"/>
      <c r="G36" s="184"/>
      <c r="H36" s="184"/>
      <c r="I36" s="184"/>
    </row>
    <row r="37" spans="2:36" ht="92.45" customHeight="1" x14ac:dyDescent="0.25">
      <c r="B37" s="184"/>
      <c r="C37" s="184"/>
      <c r="D37" s="184"/>
      <c r="E37" s="184"/>
      <c r="F37" s="184"/>
      <c r="G37" s="184"/>
      <c r="H37" s="184"/>
      <c r="I37" s="184"/>
    </row>
    <row r="39" spans="2:36" x14ac:dyDescent="0.25">
      <c r="AJ39" s="29"/>
    </row>
    <row r="45" spans="2:36" x14ac:dyDescent="0.25">
      <c r="D45" s="29"/>
      <c r="T45" s="29"/>
    </row>
  </sheetData>
  <mergeCells count="22">
    <mergeCell ref="B6:P6"/>
    <mergeCell ref="B31:P31"/>
    <mergeCell ref="B16:P16"/>
    <mergeCell ref="B11:P11"/>
    <mergeCell ref="B21:P21"/>
    <mergeCell ref="B26:P26"/>
    <mergeCell ref="B36:I37"/>
    <mergeCell ref="R26:AF26"/>
    <mergeCell ref="R31:AF31"/>
    <mergeCell ref="AH1:AV1"/>
    <mergeCell ref="AH5:AV5"/>
    <mergeCell ref="AH9:AV9"/>
    <mergeCell ref="AH13:AV13"/>
    <mergeCell ref="AH17:AV17"/>
    <mergeCell ref="AH21:AV21"/>
    <mergeCell ref="AH25:AV25"/>
    <mergeCell ref="R1:AF1"/>
    <mergeCell ref="R6:AF6"/>
    <mergeCell ref="R11:AF11"/>
    <mergeCell ref="R16:AF16"/>
    <mergeCell ref="R21:AF21"/>
    <mergeCell ref="B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1:D29"/>
  <sheetViews>
    <sheetView zoomScale="90" zoomScaleNormal="90" workbookViewId="0">
      <selection activeCell="B1" sqref="B1:D1"/>
    </sheetView>
  </sheetViews>
  <sheetFormatPr defaultColWidth="9.140625" defaultRowHeight="15" x14ac:dyDescent="0.25"/>
  <cols>
    <col min="1" max="1" width="2.42578125" style="16" customWidth="1"/>
    <col min="2" max="2" width="16.5703125" style="16" customWidth="1"/>
    <col min="3" max="3" width="51.85546875" style="16" customWidth="1"/>
    <col min="4" max="4" width="55.42578125" style="16" customWidth="1"/>
    <col min="5" max="16384" width="9.140625" style="16"/>
  </cols>
  <sheetData>
    <row r="1" spans="2:4" ht="58.5" customHeight="1" x14ac:dyDescent="0.25">
      <c r="B1" s="160" t="s">
        <v>86</v>
      </c>
      <c r="C1" s="160"/>
      <c r="D1" s="160"/>
    </row>
    <row r="2" spans="2:4" s="26" customFormat="1" ht="28.5" customHeight="1" x14ac:dyDescent="0.25">
      <c r="B2" s="22" t="s">
        <v>58</v>
      </c>
      <c r="C2" s="23" t="s">
        <v>59</v>
      </c>
      <c r="D2" s="25" t="s">
        <v>25</v>
      </c>
    </row>
    <row r="3" spans="2:4" x14ac:dyDescent="0.25">
      <c r="B3" s="27" t="s">
        <v>69</v>
      </c>
      <c r="C3" s="24" t="s">
        <v>84</v>
      </c>
      <c r="D3" s="24" t="s">
        <v>71</v>
      </c>
    </row>
    <row r="4" spans="2:4" x14ac:dyDescent="0.25">
      <c r="B4" s="27" t="s">
        <v>70</v>
      </c>
      <c r="C4" s="24" t="s">
        <v>85</v>
      </c>
      <c r="D4" s="24" t="s">
        <v>72</v>
      </c>
    </row>
    <row r="10" spans="2:4" x14ac:dyDescent="0.25">
      <c r="C10" s="28"/>
    </row>
    <row r="11" spans="2:4" x14ac:dyDescent="0.25">
      <c r="C11" s="28"/>
    </row>
    <row r="29" spans="3:3" x14ac:dyDescent="0.25">
      <c r="C29" s="40"/>
    </row>
  </sheetData>
  <mergeCells count="1">
    <mergeCell ref="B1:D1"/>
  </mergeCells>
  <conditionalFormatting sqref="B3:D4">
    <cfRule type="expression" dxfId="0" priority="1">
      <formula>$G1="Y"</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sheetPr>
  <dimension ref="B1:N27"/>
  <sheetViews>
    <sheetView zoomScale="90" zoomScaleNormal="90" workbookViewId="0">
      <selection activeCell="E5" sqref="E5"/>
    </sheetView>
  </sheetViews>
  <sheetFormatPr defaultColWidth="9.140625" defaultRowHeight="15.75" x14ac:dyDescent="0.25"/>
  <cols>
    <col min="1" max="1" width="2.85546875" style="110" customWidth="1"/>
    <col min="2" max="4" width="12.42578125" style="110" customWidth="1"/>
    <col min="5" max="5" width="31.140625" style="110" bestFit="1" customWidth="1"/>
    <col min="6" max="6" width="29.42578125" style="110" customWidth="1"/>
    <col min="7" max="7" width="17.140625" style="110" customWidth="1"/>
    <col min="8" max="16384" width="9.140625" style="110"/>
  </cols>
  <sheetData>
    <row r="1" spans="2:14" ht="32.25" customHeight="1" x14ac:dyDescent="0.25">
      <c r="B1" s="161" t="s">
        <v>118</v>
      </c>
      <c r="C1" s="162"/>
      <c r="D1" s="162"/>
      <c r="E1" s="162"/>
      <c r="F1" s="162"/>
      <c r="G1" s="163"/>
      <c r="H1" s="115"/>
      <c r="I1" s="115"/>
      <c r="J1" s="116"/>
      <c r="K1" s="116"/>
      <c r="L1" s="116"/>
      <c r="M1" s="116"/>
      <c r="N1" s="116"/>
    </row>
    <row r="2" spans="2:14" ht="30.75" customHeight="1" x14ac:dyDescent="0.25">
      <c r="B2" s="117" t="s">
        <v>77</v>
      </c>
      <c r="C2" s="118" t="s">
        <v>195</v>
      </c>
      <c r="D2" s="118" t="s">
        <v>3</v>
      </c>
      <c r="E2" s="119" t="s">
        <v>87</v>
      </c>
      <c r="F2" s="120" t="s">
        <v>88</v>
      </c>
      <c r="G2" s="120" t="s">
        <v>78</v>
      </c>
    </row>
    <row r="3" spans="2:14" ht="16.5" x14ac:dyDescent="0.25">
      <c r="B3" s="121" t="s">
        <v>102</v>
      </c>
      <c r="C3" s="121"/>
      <c r="D3" s="122"/>
      <c r="E3" s="123"/>
      <c r="F3" s="123"/>
      <c r="G3" s="124"/>
    </row>
    <row r="4" spans="2:14" ht="16.5" x14ac:dyDescent="0.25">
      <c r="B4" s="121" t="s">
        <v>103</v>
      </c>
      <c r="C4" s="121"/>
      <c r="D4" s="122"/>
      <c r="E4" s="123"/>
      <c r="F4" s="123"/>
      <c r="G4" s="124"/>
    </row>
    <row r="5" spans="2:14" ht="16.5" x14ac:dyDescent="0.25">
      <c r="B5" s="121" t="s">
        <v>104</v>
      </c>
      <c r="C5" s="121"/>
      <c r="D5" s="122"/>
      <c r="E5" s="123"/>
      <c r="F5" s="123"/>
      <c r="G5" s="124"/>
    </row>
    <row r="6" spans="2:14" ht="16.5" x14ac:dyDescent="0.25">
      <c r="B6" s="121" t="s">
        <v>105</v>
      </c>
      <c r="C6" s="121"/>
      <c r="D6" s="122"/>
      <c r="E6" s="123"/>
      <c r="F6" s="123"/>
      <c r="G6" s="124"/>
    </row>
    <row r="7" spans="2:14" ht="16.5" x14ac:dyDescent="0.25">
      <c r="B7" s="121" t="s">
        <v>106</v>
      </c>
      <c r="C7" s="121"/>
      <c r="D7" s="122"/>
      <c r="E7" s="123"/>
      <c r="F7" s="123"/>
      <c r="G7" s="124"/>
    </row>
    <row r="8" spans="2:14" ht="16.5" x14ac:dyDescent="0.25">
      <c r="B8" s="121" t="s">
        <v>107</v>
      </c>
      <c r="C8" s="121"/>
      <c r="D8" s="122"/>
      <c r="E8" s="123"/>
      <c r="F8" s="123"/>
      <c r="G8" s="124"/>
    </row>
    <row r="9" spans="2:14" ht="16.5" x14ac:dyDescent="0.25">
      <c r="B9" s="121" t="s">
        <v>108</v>
      </c>
      <c r="C9" s="121"/>
      <c r="D9" s="122"/>
      <c r="E9" s="123"/>
      <c r="F9" s="123"/>
      <c r="G9" s="124"/>
    </row>
    <row r="10" spans="2:14" ht="16.5" x14ac:dyDescent="0.25">
      <c r="B10" s="121" t="s">
        <v>109</v>
      </c>
      <c r="C10" s="121"/>
      <c r="D10" s="122"/>
      <c r="E10" s="123"/>
      <c r="F10" s="123"/>
      <c r="G10" s="124"/>
    </row>
    <row r="11" spans="2:14" ht="16.5" x14ac:dyDescent="0.25">
      <c r="B11" s="121" t="s">
        <v>110</v>
      </c>
      <c r="C11" s="121"/>
      <c r="D11" s="122"/>
      <c r="E11" s="123"/>
      <c r="F11" s="123"/>
      <c r="G11" s="124"/>
    </row>
    <row r="12" spans="2:14" ht="16.5" x14ac:dyDescent="0.25">
      <c r="B12" s="121" t="s">
        <v>111</v>
      </c>
      <c r="C12" s="121"/>
      <c r="D12" s="122"/>
      <c r="E12" s="123"/>
      <c r="F12" s="123"/>
      <c r="G12" s="124"/>
    </row>
    <row r="13" spans="2:14" ht="16.5" x14ac:dyDescent="0.25">
      <c r="B13" s="121" t="s">
        <v>112</v>
      </c>
      <c r="C13" s="121"/>
      <c r="D13" s="122"/>
      <c r="E13" s="124"/>
      <c r="F13" s="124"/>
      <c r="G13" s="124"/>
    </row>
    <row r="14" spans="2:14" ht="16.5" x14ac:dyDescent="0.25">
      <c r="B14" s="121" t="s">
        <v>113</v>
      </c>
      <c r="C14" s="121"/>
      <c r="D14" s="122"/>
      <c r="E14" s="124"/>
      <c r="F14" s="124"/>
      <c r="G14" s="124"/>
    </row>
    <row r="15" spans="2:14" ht="17.25" x14ac:dyDescent="0.3">
      <c r="B15" s="125" t="s">
        <v>78</v>
      </c>
      <c r="C15" s="125"/>
      <c r="D15" s="126"/>
      <c r="E15" s="127"/>
      <c r="F15" s="127"/>
      <c r="G15" s="128"/>
    </row>
    <row r="17" spans="2:6" s="98" customFormat="1" x14ac:dyDescent="0.25">
      <c r="B17" s="108" t="s">
        <v>116</v>
      </c>
      <c r="C17" s="108"/>
      <c r="D17" s="129"/>
    </row>
    <row r="18" spans="2:6" s="98" customFormat="1" x14ac:dyDescent="0.25">
      <c r="B18" s="109" t="s">
        <v>132</v>
      </c>
      <c r="C18" s="109"/>
    </row>
    <row r="19" spans="2:6" s="130" customFormat="1" x14ac:dyDescent="0.25">
      <c r="E19" s="116"/>
      <c r="F19" s="116"/>
    </row>
    <row r="20" spans="2:6" s="130" customFormat="1" x14ac:dyDescent="0.25">
      <c r="E20" s="116"/>
      <c r="F20" s="116"/>
    </row>
    <row r="21" spans="2:6" x14ac:dyDescent="0.25">
      <c r="B21" s="131"/>
      <c r="C21" s="131"/>
      <c r="D21" s="131"/>
      <c r="F21" s="98"/>
    </row>
    <row r="22" spans="2:6" x14ac:dyDescent="0.25">
      <c r="E22" s="132"/>
      <c r="F22" s="98"/>
    </row>
    <row r="23" spans="2:6" x14ac:dyDescent="0.25">
      <c r="E23" s="132"/>
      <c r="F23" s="98"/>
    </row>
    <row r="24" spans="2:6" x14ac:dyDescent="0.25">
      <c r="E24" s="132"/>
    </row>
    <row r="25" spans="2:6" x14ac:dyDescent="0.25">
      <c r="E25" s="132"/>
      <c r="F25" s="133"/>
    </row>
    <row r="27" spans="2:6" x14ac:dyDescent="0.25">
      <c r="E27" s="132"/>
      <c r="F27" s="98"/>
    </row>
  </sheetData>
  <mergeCells count="1">
    <mergeCell ref="B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B1:Q22"/>
  <sheetViews>
    <sheetView zoomScale="78" zoomScaleNormal="90" workbookViewId="0">
      <selection activeCell="E5" sqref="E5"/>
    </sheetView>
  </sheetViews>
  <sheetFormatPr defaultColWidth="9.140625" defaultRowHeight="15.75" x14ac:dyDescent="0.25"/>
  <cols>
    <col min="1" max="1" width="3.42578125" style="29" customWidth="1"/>
    <col min="2" max="2" width="17" style="29" customWidth="1"/>
    <col min="3" max="3" width="20.5703125" style="29" customWidth="1"/>
    <col min="4" max="4" width="18" style="29" customWidth="1"/>
    <col min="5" max="5" width="18.42578125" style="29" customWidth="1"/>
    <col min="6" max="7" width="21.42578125" style="29" customWidth="1"/>
    <col min="8" max="8" width="52.42578125" style="29" customWidth="1"/>
    <col min="9" max="9" width="39.140625" style="29" customWidth="1"/>
    <col min="10" max="10" width="38.85546875" style="29" customWidth="1"/>
    <col min="11" max="16384" width="9.140625" style="29"/>
  </cols>
  <sheetData>
    <row r="1" spans="2:17" ht="23.25" customHeight="1" x14ac:dyDescent="0.25">
      <c r="B1" s="188" t="s">
        <v>197</v>
      </c>
      <c r="C1" s="189"/>
      <c r="D1" s="189"/>
      <c r="E1" s="189"/>
      <c r="F1" s="189"/>
      <c r="G1" s="189"/>
      <c r="H1" s="190"/>
      <c r="I1" s="42"/>
      <c r="J1" s="42"/>
      <c r="K1" s="42"/>
      <c r="L1" s="42"/>
      <c r="M1" s="43"/>
      <c r="N1" s="43"/>
      <c r="O1" s="43"/>
      <c r="P1" s="43"/>
      <c r="Q1" s="43"/>
    </row>
    <row r="2" spans="2:17" ht="43.5" customHeight="1" x14ac:dyDescent="0.25">
      <c r="B2" s="47" t="s">
        <v>77</v>
      </c>
      <c r="C2" s="50" t="s">
        <v>96</v>
      </c>
      <c r="D2" s="48" t="s">
        <v>94</v>
      </c>
      <c r="E2" s="48" t="s">
        <v>95</v>
      </c>
      <c r="F2" s="50" t="s">
        <v>97</v>
      </c>
      <c r="G2" s="50" t="s">
        <v>98</v>
      </c>
      <c r="H2" s="31" t="s">
        <v>93</v>
      </c>
    </row>
    <row r="3" spans="2:17" ht="18.75" x14ac:dyDescent="0.25">
      <c r="B3" s="51"/>
      <c r="C3" s="52" t="s">
        <v>90</v>
      </c>
      <c r="D3" s="52" t="s">
        <v>89</v>
      </c>
      <c r="E3" s="52" t="s">
        <v>91</v>
      </c>
      <c r="F3" s="52" t="s">
        <v>92</v>
      </c>
      <c r="G3" s="52" t="s">
        <v>99</v>
      </c>
      <c r="H3" s="53"/>
    </row>
    <row r="4" spans="2:17" x14ac:dyDescent="0.25">
      <c r="B4" s="49" t="s">
        <v>102</v>
      </c>
      <c r="C4" s="35"/>
      <c r="D4" s="35"/>
      <c r="E4" s="35"/>
      <c r="F4" s="35"/>
      <c r="G4" s="35"/>
      <c r="H4" s="36"/>
    </row>
    <row r="5" spans="2:17" x14ac:dyDescent="0.25">
      <c r="B5" s="49" t="s">
        <v>103</v>
      </c>
      <c r="C5" s="35"/>
      <c r="D5" s="35"/>
      <c r="E5" s="35"/>
      <c r="F5" s="35"/>
      <c r="G5" s="35"/>
      <c r="H5" s="36"/>
    </row>
    <row r="6" spans="2:17" x14ac:dyDescent="0.25">
      <c r="B6" s="49" t="s">
        <v>104</v>
      </c>
      <c r="C6" s="35"/>
      <c r="D6" s="35"/>
      <c r="E6" s="35"/>
      <c r="F6" s="35"/>
      <c r="G6" s="35"/>
      <c r="H6" s="36"/>
    </row>
    <row r="7" spans="2:17" x14ac:dyDescent="0.25">
      <c r="B7" s="49" t="s">
        <v>105</v>
      </c>
      <c r="C7" s="35"/>
      <c r="D7" s="35"/>
      <c r="E7" s="35"/>
      <c r="F7" s="35"/>
      <c r="G7" s="35"/>
      <c r="H7" s="36"/>
    </row>
    <row r="8" spans="2:17" x14ac:dyDescent="0.25">
      <c r="B8" s="49" t="s">
        <v>106</v>
      </c>
      <c r="C8" s="35"/>
      <c r="D8" s="35"/>
      <c r="E8" s="35"/>
      <c r="F8" s="35"/>
      <c r="G8" s="35"/>
      <c r="H8" s="36"/>
    </row>
    <row r="9" spans="2:17" x14ac:dyDescent="0.25">
      <c r="B9" s="49" t="s">
        <v>107</v>
      </c>
      <c r="C9" s="35"/>
      <c r="D9" s="35"/>
      <c r="E9" s="35"/>
      <c r="F9" s="35"/>
      <c r="G9" s="35"/>
      <c r="H9" s="36"/>
    </row>
    <row r="10" spans="2:17" x14ac:dyDescent="0.25">
      <c r="B10" s="49" t="s">
        <v>108</v>
      </c>
      <c r="C10" s="35"/>
      <c r="D10" s="35"/>
      <c r="E10" s="35"/>
      <c r="F10" s="35"/>
      <c r="G10" s="35"/>
      <c r="H10" s="36"/>
    </row>
    <row r="11" spans="2:17" x14ac:dyDescent="0.25">
      <c r="B11" s="49" t="s">
        <v>109</v>
      </c>
      <c r="C11" s="35"/>
      <c r="D11" s="35"/>
      <c r="E11" s="35"/>
      <c r="F11" s="35"/>
      <c r="G11" s="35"/>
      <c r="H11" s="36"/>
    </row>
    <row r="12" spans="2:17" x14ac:dyDescent="0.25">
      <c r="B12" s="49" t="s">
        <v>110</v>
      </c>
      <c r="C12" s="35"/>
      <c r="D12" s="35"/>
      <c r="E12" s="35"/>
      <c r="F12" s="35"/>
      <c r="G12" s="35"/>
      <c r="H12" s="36"/>
    </row>
    <row r="13" spans="2:17" x14ac:dyDescent="0.25">
      <c r="B13" s="49" t="s">
        <v>111</v>
      </c>
      <c r="C13" s="35"/>
      <c r="D13" s="35"/>
      <c r="E13" s="35"/>
      <c r="F13" s="35"/>
      <c r="G13" s="35"/>
      <c r="H13" s="36"/>
    </row>
    <row r="14" spans="2:17" x14ac:dyDescent="0.25">
      <c r="B14" s="49" t="s">
        <v>112</v>
      </c>
      <c r="C14" s="35"/>
      <c r="D14" s="35"/>
      <c r="E14" s="35"/>
      <c r="F14" s="35"/>
      <c r="G14" s="35"/>
      <c r="H14" s="36"/>
    </row>
    <row r="15" spans="2:17" x14ac:dyDescent="0.25">
      <c r="B15" s="49" t="s">
        <v>113</v>
      </c>
      <c r="C15" s="35"/>
      <c r="D15" s="35"/>
      <c r="E15" s="35"/>
      <c r="F15" s="35"/>
      <c r="G15" s="35"/>
      <c r="H15" s="36"/>
    </row>
    <row r="16" spans="2:17" x14ac:dyDescent="0.25">
      <c r="B16" s="37" t="s">
        <v>78</v>
      </c>
      <c r="C16" s="39"/>
      <c r="D16" s="38"/>
      <c r="E16" s="37"/>
      <c r="F16" s="39"/>
      <c r="G16" s="39"/>
      <c r="H16" s="39"/>
    </row>
    <row r="18" spans="2:5" s="41" customFormat="1" x14ac:dyDescent="0.25">
      <c r="B18" s="56" t="s">
        <v>116</v>
      </c>
      <c r="C18" s="44"/>
    </row>
    <row r="19" spans="2:5" s="41" customFormat="1" x14ac:dyDescent="0.25">
      <c r="B19" s="55" t="s">
        <v>132</v>
      </c>
    </row>
    <row r="20" spans="2:5" s="41" customFormat="1" ht="65.25" customHeight="1" x14ac:dyDescent="0.25">
      <c r="B20" s="44"/>
    </row>
    <row r="21" spans="2:5" s="41" customFormat="1" x14ac:dyDescent="0.25"/>
    <row r="22" spans="2:5" s="41" customFormat="1" x14ac:dyDescent="0.25">
      <c r="B22" s="29"/>
      <c r="C22" s="29"/>
      <c r="D22" s="29"/>
      <c r="E22" s="29"/>
    </row>
  </sheetData>
  <mergeCells count="1">
    <mergeCell ref="B1:H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1:D10"/>
  <sheetViews>
    <sheetView zoomScale="90" zoomScaleNormal="90" workbookViewId="0">
      <selection activeCell="C4" sqref="C4"/>
    </sheetView>
  </sheetViews>
  <sheetFormatPr defaultColWidth="9.140625" defaultRowHeight="15.75" x14ac:dyDescent="0.25"/>
  <cols>
    <col min="1" max="1" width="3" style="93" customWidth="1"/>
    <col min="2" max="2" width="9.140625" style="93"/>
    <col min="3" max="3" width="60" style="93" customWidth="1"/>
    <col min="4" max="4" width="76.140625" style="93" customWidth="1"/>
    <col min="5" max="16384" width="9.140625" style="93"/>
  </cols>
  <sheetData>
    <row r="1" spans="2:4" ht="27" customHeight="1" x14ac:dyDescent="0.25">
      <c r="B1" s="175" t="s">
        <v>180</v>
      </c>
      <c r="C1" s="175"/>
      <c r="D1" s="175"/>
    </row>
    <row r="2" spans="2:4" ht="19.5" customHeight="1" x14ac:dyDescent="0.25">
      <c r="B2" s="77" t="s">
        <v>16</v>
      </c>
      <c r="C2" s="77" t="s">
        <v>181</v>
      </c>
      <c r="D2" s="77" t="s">
        <v>25</v>
      </c>
    </row>
    <row r="3" spans="2:4" ht="31.5" x14ac:dyDescent="0.25">
      <c r="B3" s="80">
        <v>1</v>
      </c>
      <c r="C3" s="81" t="s">
        <v>183</v>
      </c>
      <c r="D3" s="134" t="s">
        <v>188</v>
      </c>
    </row>
    <row r="4" spans="2:4" ht="47.25" x14ac:dyDescent="0.25">
      <c r="B4" s="80">
        <v>2</v>
      </c>
      <c r="C4" s="81" t="s">
        <v>251</v>
      </c>
      <c r="D4" s="134" t="s">
        <v>187</v>
      </c>
    </row>
    <row r="5" spans="2:4" ht="31.5" x14ac:dyDescent="0.25">
      <c r="B5" s="80">
        <v>3</v>
      </c>
      <c r="C5" s="81" t="s">
        <v>222</v>
      </c>
      <c r="D5" s="134"/>
    </row>
    <row r="6" spans="2:4" ht="31.5" x14ac:dyDescent="0.25">
      <c r="B6" s="80">
        <v>4</v>
      </c>
      <c r="C6" s="81" t="s">
        <v>212</v>
      </c>
      <c r="D6" s="135" t="s">
        <v>186</v>
      </c>
    </row>
    <row r="7" spans="2:4" ht="31.5" x14ac:dyDescent="0.25">
      <c r="B7" s="80">
        <v>5</v>
      </c>
      <c r="C7" s="81" t="s">
        <v>184</v>
      </c>
      <c r="D7" s="135" t="s">
        <v>185</v>
      </c>
    </row>
    <row r="8" spans="2:4" x14ac:dyDescent="0.25">
      <c r="B8" s="80" t="s">
        <v>48</v>
      </c>
      <c r="C8" s="136"/>
      <c r="D8" s="135"/>
    </row>
    <row r="9" spans="2:4" x14ac:dyDescent="0.25">
      <c r="C9" s="76"/>
      <c r="D9" s="94"/>
    </row>
    <row r="10" spans="2:4" x14ac:dyDescent="0.25">
      <c r="B10" s="108" t="s">
        <v>116</v>
      </c>
      <c r="C10" s="94" t="s">
        <v>249</v>
      </c>
    </row>
  </sheetData>
  <mergeCells count="1">
    <mergeCell ref="B1: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H29"/>
  <sheetViews>
    <sheetView tabSelected="1" topLeftCell="A2" zoomScaleNormal="100" workbookViewId="0">
      <selection activeCell="E25" sqref="E25"/>
    </sheetView>
  </sheetViews>
  <sheetFormatPr defaultColWidth="8.85546875" defaultRowHeight="15.75" x14ac:dyDescent="0.25"/>
  <cols>
    <col min="1" max="1" width="3" style="69" customWidth="1"/>
    <col min="2" max="2" width="6.5703125" style="69" customWidth="1"/>
    <col min="3" max="3" width="34.140625" style="70" bestFit="1" customWidth="1"/>
    <col min="4" max="6" width="34.28515625" style="70" customWidth="1"/>
    <col min="7" max="7" width="50" style="70" customWidth="1"/>
    <col min="8" max="8" width="19.140625" style="70" customWidth="1"/>
    <col min="9" max="16384" width="8.85546875" style="70"/>
  </cols>
  <sheetData>
    <row r="1" spans="2:8" ht="31.35" customHeight="1" x14ac:dyDescent="0.25">
      <c r="B1" s="174" t="s">
        <v>182</v>
      </c>
      <c r="C1" s="191"/>
      <c r="D1" s="191"/>
      <c r="E1" s="191"/>
      <c r="F1" s="191"/>
      <c r="G1" s="191"/>
      <c r="H1" s="191"/>
    </row>
    <row r="2" spans="2:8" s="71" customFormat="1" ht="19.5" x14ac:dyDescent="0.25">
      <c r="B2" s="63" t="s">
        <v>224</v>
      </c>
      <c r="C2" s="63" t="s">
        <v>214</v>
      </c>
      <c r="D2" s="63" t="s">
        <v>213</v>
      </c>
      <c r="E2" s="63" t="s">
        <v>223</v>
      </c>
      <c r="F2" s="63" t="s">
        <v>225</v>
      </c>
      <c r="G2" s="66" t="s">
        <v>217</v>
      </c>
      <c r="H2" s="63" t="s">
        <v>25</v>
      </c>
    </row>
    <row r="3" spans="2:8" x14ac:dyDescent="0.25">
      <c r="B3" s="72" t="s">
        <v>215</v>
      </c>
      <c r="C3" s="192" t="s">
        <v>216</v>
      </c>
      <c r="D3" s="193"/>
      <c r="E3" s="193"/>
      <c r="F3" s="193"/>
      <c r="G3" s="193"/>
      <c r="H3" s="194"/>
    </row>
    <row r="4" spans="2:8" x14ac:dyDescent="0.25">
      <c r="B4" s="13">
        <v>1</v>
      </c>
      <c r="C4" s="73"/>
      <c r="D4" s="74"/>
      <c r="E4" s="74"/>
      <c r="F4" s="74"/>
      <c r="G4" s="74"/>
      <c r="H4" s="74"/>
    </row>
    <row r="5" spans="2:8" x14ac:dyDescent="0.25">
      <c r="B5" s="13">
        <v>2</v>
      </c>
      <c r="C5" s="73"/>
      <c r="D5" s="74"/>
      <c r="E5" s="74"/>
      <c r="F5" s="74"/>
      <c r="G5" s="74"/>
      <c r="H5" s="74"/>
    </row>
    <row r="6" spans="2:8" x14ac:dyDescent="0.25">
      <c r="B6" s="13">
        <v>3</v>
      </c>
      <c r="C6" s="73"/>
      <c r="D6" s="74"/>
      <c r="E6" s="74"/>
      <c r="F6" s="74"/>
      <c r="G6" s="74"/>
      <c r="H6" s="74"/>
    </row>
    <row r="7" spans="2:8" x14ac:dyDescent="0.25">
      <c r="B7" s="13">
        <v>4</v>
      </c>
      <c r="D7" s="74"/>
      <c r="E7" s="74"/>
      <c r="F7" s="74"/>
      <c r="G7" s="74"/>
      <c r="H7" s="74"/>
    </row>
    <row r="8" spans="2:8" x14ac:dyDescent="0.25">
      <c r="B8" s="13">
        <v>5</v>
      </c>
      <c r="C8" s="73"/>
      <c r="D8" s="74"/>
      <c r="E8" s="74"/>
      <c r="F8" s="74"/>
      <c r="G8" s="74"/>
      <c r="H8" s="74"/>
    </row>
    <row r="9" spans="2:8" x14ac:dyDescent="0.25">
      <c r="B9" s="72" t="s">
        <v>218</v>
      </c>
      <c r="C9" s="195" t="s">
        <v>219</v>
      </c>
      <c r="D9" s="196"/>
      <c r="E9" s="196"/>
      <c r="F9" s="196"/>
      <c r="G9" s="196"/>
      <c r="H9" s="197"/>
    </row>
    <row r="10" spans="2:8" x14ac:dyDescent="0.25">
      <c r="B10" s="13">
        <v>1</v>
      </c>
      <c r="C10" s="74"/>
      <c r="D10" s="74"/>
      <c r="E10" s="74"/>
      <c r="F10" s="74"/>
      <c r="G10" s="74"/>
      <c r="H10" s="74"/>
    </row>
    <row r="11" spans="2:8" x14ac:dyDescent="0.25">
      <c r="B11" s="13">
        <v>2</v>
      </c>
      <c r="C11" s="74"/>
      <c r="D11" s="74"/>
      <c r="E11" s="74"/>
      <c r="F11" s="74"/>
      <c r="G11" s="74"/>
      <c r="H11" s="74"/>
    </row>
    <row r="12" spans="2:8" x14ac:dyDescent="0.25">
      <c r="B12" s="13">
        <v>3</v>
      </c>
      <c r="C12" s="74"/>
      <c r="D12" s="74"/>
      <c r="E12" s="74"/>
      <c r="F12" s="74"/>
      <c r="G12" s="74"/>
      <c r="H12" s="74"/>
    </row>
    <row r="13" spans="2:8" x14ac:dyDescent="0.25">
      <c r="B13" s="13">
        <v>4</v>
      </c>
      <c r="C13" s="74"/>
      <c r="D13" s="74"/>
      <c r="E13" s="74"/>
      <c r="F13" s="74"/>
      <c r="G13" s="74"/>
      <c r="H13" s="74"/>
    </row>
    <row r="14" spans="2:8" x14ac:dyDescent="0.25">
      <c r="B14" s="72" t="s">
        <v>226</v>
      </c>
      <c r="C14" s="195" t="s">
        <v>227</v>
      </c>
      <c r="D14" s="196"/>
      <c r="E14" s="196"/>
      <c r="F14" s="196"/>
      <c r="G14" s="196"/>
      <c r="H14" s="197"/>
    </row>
    <row r="15" spans="2:8" x14ac:dyDescent="0.25">
      <c r="B15" s="13">
        <v>1</v>
      </c>
      <c r="C15" s="74"/>
      <c r="D15" s="74"/>
      <c r="E15" s="74"/>
      <c r="F15" s="74"/>
      <c r="G15" s="74"/>
      <c r="H15" s="74"/>
    </row>
    <row r="16" spans="2:8" x14ac:dyDescent="0.25">
      <c r="B16" s="13">
        <v>2</v>
      </c>
      <c r="C16" s="74"/>
      <c r="D16" s="74"/>
      <c r="E16" s="74"/>
      <c r="F16" s="74"/>
      <c r="G16" s="74"/>
      <c r="H16" s="74"/>
    </row>
    <row r="17" spans="2:8" x14ac:dyDescent="0.25">
      <c r="B17" s="13">
        <v>3</v>
      </c>
      <c r="C17" s="74"/>
      <c r="D17" s="74"/>
      <c r="E17" s="74"/>
      <c r="F17" s="74"/>
      <c r="G17" s="74"/>
      <c r="H17" s="74"/>
    </row>
    <row r="18" spans="2:8" x14ac:dyDescent="0.25">
      <c r="B18" s="13">
        <v>4</v>
      </c>
      <c r="C18" s="74"/>
      <c r="D18" s="74"/>
      <c r="E18" s="74"/>
      <c r="F18" s="74"/>
      <c r="G18" s="74"/>
      <c r="H18" s="74"/>
    </row>
    <row r="20" spans="2:8" x14ac:dyDescent="0.25">
      <c r="B20" s="75" t="s">
        <v>220</v>
      </c>
    </row>
    <row r="27" spans="2:8" x14ac:dyDescent="0.25">
      <c r="H27" s="70">
        <f>240*0.9</f>
        <v>216</v>
      </c>
    </row>
    <row r="28" spans="2:8" x14ac:dyDescent="0.25">
      <c r="H28" s="70">
        <f>+H27*0.9</f>
        <v>194.4</v>
      </c>
    </row>
    <row r="29" spans="2:8" x14ac:dyDescent="0.25">
      <c r="H29" s="70">
        <f>240*0.8</f>
        <v>192</v>
      </c>
    </row>
  </sheetData>
  <mergeCells count="4">
    <mergeCell ref="B1:H1"/>
    <mergeCell ref="C3:H3"/>
    <mergeCell ref="C9:H9"/>
    <mergeCell ref="C14:H1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0"/>
  <sheetViews>
    <sheetView workbookViewId="0">
      <selection activeCell="L10" sqref="L10"/>
    </sheetView>
  </sheetViews>
  <sheetFormatPr defaultColWidth="9.140625" defaultRowHeight="15" x14ac:dyDescent="0.25"/>
  <cols>
    <col min="1" max="1" width="4" style="3" bestFit="1" customWidth="1"/>
    <col min="2" max="2" width="18.5703125" style="3" customWidth="1"/>
    <col min="3" max="3" width="10.5703125" style="3" customWidth="1"/>
    <col min="4" max="4" width="12.85546875" style="3" customWidth="1"/>
    <col min="5" max="6" width="9.5703125" style="3" customWidth="1"/>
    <col min="7" max="7" width="24.5703125" style="3" customWidth="1"/>
    <col min="8" max="16384" width="9.140625" style="3"/>
  </cols>
  <sheetData>
    <row r="1" spans="1:10" ht="47.25" customHeight="1" x14ac:dyDescent="0.25">
      <c r="A1" s="199" t="s">
        <v>33</v>
      </c>
      <c r="B1" s="199"/>
      <c r="C1" s="199"/>
      <c r="D1" s="199"/>
      <c r="E1" s="199"/>
      <c r="F1" s="199"/>
      <c r="G1" s="199"/>
      <c r="H1" s="2"/>
      <c r="I1" s="2"/>
      <c r="J1" s="2"/>
    </row>
    <row r="2" spans="1:10" s="4" customFormat="1" ht="33.75" customHeight="1" x14ac:dyDescent="0.25">
      <c r="A2" s="201" t="s">
        <v>16</v>
      </c>
      <c r="B2" s="201" t="s">
        <v>22</v>
      </c>
      <c r="C2" s="201" t="s">
        <v>23</v>
      </c>
      <c r="D2" s="201" t="s">
        <v>24</v>
      </c>
      <c r="E2" s="201" t="s">
        <v>34</v>
      </c>
      <c r="F2" s="201"/>
      <c r="G2" s="198" t="s">
        <v>25</v>
      </c>
      <c r="H2" s="5"/>
      <c r="I2" s="5"/>
      <c r="J2" s="5"/>
    </row>
    <row r="3" spans="1:10" s="4" customFormat="1" ht="36" customHeight="1" x14ac:dyDescent="0.25">
      <c r="A3" s="201"/>
      <c r="B3" s="201"/>
      <c r="C3" s="198"/>
      <c r="D3" s="201"/>
      <c r="E3" s="9">
        <v>2020</v>
      </c>
      <c r="F3" s="10">
        <v>2022</v>
      </c>
      <c r="G3" s="198"/>
      <c r="H3" s="5"/>
      <c r="I3" s="5"/>
      <c r="J3" s="5"/>
    </row>
    <row r="4" spans="1:10" s="2" customFormat="1" x14ac:dyDescent="0.25">
      <c r="A4" s="6" t="s">
        <v>35</v>
      </c>
      <c r="B4" s="6" t="s">
        <v>36</v>
      </c>
      <c r="C4" s="6"/>
      <c r="D4" s="6"/>
      <c r="E4" s="6"/>
      <c r="F4" s="6"/>
      <c r="G4" s="6"/>
    </row>
    <row r="5" spans="1:10" x14ac:dyDescent="0.25">
      <c r="A5" s="7" t="s">
        <v>41</v>
      </c>
      <c r="B5" s="8" t="s">
        <v>37</v>
      </c>
      <c r="C5" s="11" t="s">
        <v>4</v>
      </c>
      <c r="D5" s="8"/>
      <c r="E5" s="8"/>
      <c r="F5" s="8"/>
      <c r="G5" s="8"/>
    </row>
    <row r="6" spans="1:10" x14ac:dyDescent="0.25">
      <c r="A6" s="7" t="s">
        <v>42</v>
      </c>
      <c r="B6" s="8" t="s">
        <v>38</v>
      </c>
      <c r="C6" s="11" t="s">
        <v>4</v>
      </c>
      <c r="D6" s="8"/>
      <c r="E6" s="8"/>
      <c r="F6" s="8"/>
      <c r="G6" s="8"/>
    </row>
    <row r="7" spans="1:10" s="2" customFormat="1" x14ac:dyDescent="0.25">
      <c r="A7" s="6" t="s">
        <v>39</v>
      </c>
      <c r="B7" s="6" t="s">
        <v>40</v>
      </c>
      <c r="C7" s="12"/>
      <c r="D7" s="6"/>
      <c r="E7" s="6"/>
      <c r="F7" s="6"/>
      <c r="G7" s="6"/>
    </row>
    <row r="8" spans="1:10" ht="17.25" x14ac:dyDescent="0.25">
      <c r="A8" s="7" t="s">
        <v>41</v>
      </c>
      <c r="B8" s="8" t="s">
        <v>43</v>
      </c>
      <c r="C8" s="11" t="s">
        <v>46</v>
      </c>
      <c r="D8" s="8"/>
      <c r="E8" s="8"/>
      <c r="F8" s="8"/>
      <c r="G8" s="8"/>
    </row>
    <row r="9" spans="1:10" ht="17.25" x14ac:dyDescent="0.25">
      <c r="A9" s="7" t="s">
        <v>42</v>
      </c>
      <c r="B9" s="8" t="s">
        <v>44</v>
      </c>
      <c r="C9" s="11" t="s">
        <v>46</v>
      </c>
      <c r="D9" s="8"/>
      <c r="E9" s="8"/>
      <c r="F9" s="8"/>
      <c r="G9" s="8"/>
    </row>
    <row r="10" spans="1:10" ht="85.5" customHeight="1" x14ac:dyDescent="0.25">
      <c r="A10" s="200" t="s">
        <v>45</v>
      </c>
      <c r="B10" s="200"/>
      <c r="C10" s="200"/>
      <c r="D10" s="200"/>
      <c r="E10" s="200"/>
      <c r="F10" s="200"/>
      <c r="G10" s="200"/>
      <c r="H10" s="1"/>
      <c r="I10" s="1"/>
      <c r="J10" s="1"/>
    </row>
  </sheetData>
  <mergeCells count="8">
    <mergeCell ref="G2:G3"/>
    <mergeCell ref="A1:G1"/>
    <mergeCell ref="A10:G10"/>
    <mergeCell ref="A2:A3"/>
    <mergeCell ref="B2:B3"/>
    <mergeCell ref="C2:C3"/>
    <mergeCell ref="D2:D3"/>
    <mergeCell ref="E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Thông tin chung</vt:lpstr>
      <vt:lpstr>Phạm vi 1</vt:lpstr>
      <vt:lpstr>1.1</vt:lpstr>
      <vt:lpstr>1.2</vt:lpstr>
      <vt:lpstr>1.3</vt:lpstr>
      <vt:lpstr>1.4</vt:lpstr>
      <vt:lpstr>1.5</vt:lpstr>
      <vt:lpstr>1.6</vt:lpstr>
      <vt:lpstr>Phạm vi 2</vt:lpstr>
      <vt:lpstr>2.1</vt:lpstr>
      <vt:lpstr>2.2</vt:lpstr>
      <vt:lpstr>Thông tin bổ sung</vt:lpstr>
      <vt:lpstr>Biện pháp giảm thiểu</vt:lpstr>
      <vt:lpstr>Cung cap thong tin khai khoang</vt:lpstr>
      <vt:lpstr>'Thông tin chung'!Print_Area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Ngoc Hung</dc:creator>
  <cp:lastModifiedBy>Phuong Anh DL - IE</cp:lastModifiedBy>
  <cp:lastPrinted>2023-03-09T02:35:58Z</cp:lastPrinted>
  <dcterms:created xsi:type="dcterms:W3CDTF">2023-02-17T03:33:48Z</dcterms:created>
  <dcterms:modified xsi:type="dcterms:W3CDTF">2025-01-06T02:49:07Z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717600405216217</vt:r8>
  </property>
</Properties>
</file>