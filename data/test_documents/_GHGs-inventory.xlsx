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detail" sheetId="1" r:id="rId5"/>
    <sheet state="visible" name="Conversion Factors" sheetId="2" r:id="rId6"/>
    <sheet state="visible" name="S1-Stationary Combustion" sheetId="3" r:id="rId7"/>
    <sheet state="visible" name="S1-Mobile Combustion" sheetId="4" r:id="rId8"/>
    <sheet state="visible" name="S1-Refrigerants" sheetId="5" r:id="rId9"/>
    <sheet state="visible" name="S1-Industrial processes" sheetId="6" r:id="rId10"/>
    <sheet state="visible" name="S1-Wastewater Treatment" sheetId="7" r:id="rId11"/>
    <sheet state="visible" name="S2-Electricity Consumption" sheetId="8" r:id="rId12"/>
  </sheets>
  <definedNames>
    <definedName name="_Fill">#REF!</definedName>
    <definedName name="_Sort">#REF!</definedName>
    <definedName name="_Key1">#REF!</definedName>
    <definedName name="_Key2">#REF!</definedName>
  </definedNames>
  <calcPr/>
</workbook>
</file>

<file path=xl/sharedStrings.xml><?xml version="1.0" encoding="utf-8"?>
<sst xmlns="http://schemas.openxmlformats.org/spreadsheetml/2006/main" count="674" uniqueCount="381">
  <si>
    <t>Conversion factor</t>
  </si>
  <si>
    <t>Scope 1 - Stationary Combustion</t>
  </si>
  <si>
    <t>Scope 1 - Mobile Combustion</t>
  </si>
  <si>
    <t>Conversion factor of fuel types from liters, m3,… =&gt;&gt; tons</t>
  </si>
  <si>
    <t>Unit</t>
  </si>
  <si>
    <t>Energy consumption</t>
  </si>
  <si>
    <t>GWP* (AR6)</t>
  </si>
  <si>
    <t>Total Consumption</t>
  </si>
  <si>
    <r>
      <rPr>
        <rFont val="Arial"/>
        <b/>
        <color theme="1"/>
        <sz val="9.0"/>
      </rPr>
      <t>Maximum methane generation potential (B</t>
    </r>
    <r>
      <rPr>
        <rFont val="Arial"/>
        <b/>
        <color theme="1"/>
        <sz val="9.0"/>
        <vertAlign val="subscript"/>
      </rPr>
      <t>o</t>
    </r>
    <r>
      <rPr>
        <rFont val="Arial"/>
        <b/>
        <color theme="1"/>
        <sz val="9.0"/>
      </rPr>
      <t>)</t>
    </r>
  </si>
  <si>
    <r>
      <rPr>
        <rFont val="Arial"/>
        <b/>
        <color theme="1"/>
        <sz val="9.0"/>
      </rPr>
      <t>CO</t>
    </r>
    <r>
      <rPr>
        <rFont val="Arial"/>
        <b/>
        <color theme="1"/>
        <sz val="9.0"/>
        <vertAlign val="subscript"/>
      </rPr>
      <t>2</t>
    </r>
  </si>
  <si>
    <r>
      <rPr>
        <rFont val="Arial"/>
        <b/>
        <color theme="1"/>
        <sz val="9.0"/>
      </rPr>
      <t>CH</t>
    </r>
    <r>
      <rPr>
        <rFont val="Arial"/>
        <b/>
        <color theme="1"/>
        <sz val="9.0"/>
        <vertAlign val="subscript"/>
      </rPr>
      <t>4</t>
    </r>
  </si>
  <si>
    <r>
      <rPr>
        <rFont val="Arial"/>
        <b/>
        <color theme="1"/>
        <sz val="9.0"/>
      </rPr>
      <t>CO</t>
    </r>
    <r>
      <rPr>
        <rFont val="Arial"/>
        <b/>
        <color theme="1"/>
        <sz val="9.0"/>
        <vertAlign val="subscript"/>
      </rPr>
      <t>2</t>
    </r>
  </si>
  <si>
    <r>
      <rPr>
        <rFont val="Arial"/>
        <b/>
        <color theme="1"/>
        <sz val="9.0"/>
      </rPr>
      <t>N</t>
    </r>
    <r>
      <rPr>
        <rFont val="Arial"/>
        <b/>
        <color theme="1"/>
        <sz val="9.0"/>
        <vertAlign val="subscript"/>
      </rPr>
      <t>2</t>
    </r>
    <r>
      <rPr>
        <rFont val="Arial"/>
        <b/>
        <color theme="1"/>
        <sz val="9.0"/>
      </rPr>
      <t>O</t>
    </r>
  </si>
  <si>
    <r>
      <rPr>
        <rFont val="Arial"/>
        <b/>
        <color theme="1"/>
        <sz val="9.0"/>
      </rPr>
      <t>D</t>
    </r>
    <r>
      <rPr>
        <rFont val="Arial"/>
        <b/>
        <color rgb="FF000000"/>
        <sz val="9.0"/>
      </rPr>
      <t>efault MCF values for domestic wastewater</t>
    </r>
  </si>
  <si>
    <r>
      <rPr>
        <rFont val="Arial"/>
        <b/>
        <color theme="1"/>
        <sz val="9.0"/>
      </rPr>
      <t>CH</t>
    </r>
    <r>
      <rPr>
        <rFont val="Arial"/>
        <b/>
        <color theme="1"/>
        <sz val="9.0"/>
        <vertAlign val="subscript"/>
      </rPr>
      <t>4</t>
    </r>
  </si>
  <si>
    <r>
      <rPr>
        <rFont val="Arial"/>
        <b/>
        <color theme="1"/>
        <sz val="9.0"/>
      </rPr>
      <t>CO</t>
    </r>
    <r>
      <rPr>
        <rFont val="Arial"/>
        <b/>
        <color theme="1"/>
        <sz val="9.0"/>
        <vertAlign val="subscript"/>
      </rPr>
      <t>2</t>
    </r>
    <r>
      <rPr>
        <rFont val="Arial"/>
        <b/>
        <color theme="1"/>
        <sz val="9.0"/>
      </rPr>
      <t>e</t>
    </r>
  </si>
  <si>
    <r>
      <rPr>
        <rFont val="Arial"/>
        <b/>
        <color theme="1"/>
        <sz val="9.0"/>
      </rPr>
      <t>N</t>
    </r>
    <r>
      <rPr>
        <rFont val="Arial"/>
        <b/>
        <color theme="1"/>
        <sz val="9.0"/>
        <vertAlign val="subscript"/>
      </rPr>
      <t>2</t>
    </r>
    <r>
      <rPr>
        <rFont val="Arial"/>
        <b/>
        <color theme="1"/>
        <sz val="9.0"/>
      </rPr>
      <t>O</t>
    </r>
  </si>
  <si>
    <t xml:space="preserve"> (tonnes, litres, cubic metres,…)</t>
  </si>
  <si>
    <r>
      <rPr>
        <rFont val="Arial"/>
        <b/>
        <color theme="1"/>
        <sz val="9.0"/>
      </rPr>
      <t>CO</t>
    </r>
    <r>
      <rPr>
        <rFont val="Arial"/>
        <b/>
        <color theme="1"/>
        <sz val="9.0"/>
        <vertAlign val="subscript"/>
      </rPr>
      <t>2</t>
    </r>
    <r>
      <rPr>
        <rFont val="Arial"/>
        <b/>
        <color theme="1"/>
        <sz val="9.0"/>
      </rPr>
      <t>e</t>
    </r>
  </si>
  <si>
    <t>No.</t>
  </si>
  <si>
    <t>A</t>
  </si>
  <si>
    <t>B</t>
  </si>
  <si>
    <t>C</t>
  </si>
  <si>
    <t>D</t>
  </si>
  <si>
    <t>Type Fuel</t>
  </si>
  <si>
    <t>E</t>
  </si>
  <si>
    <t>F</t>
  </si>
  <si>
    <t>Parameter</t>
  </si>
  <si>
    <t>G</t>
  </si>
  <si>
    <t>Select</t>
  </si>
  <si>
    <t>H</t>
  </si>
  <si>
    <t>Source</t>
  </si>
  <si>
    <t>I</t>
  </si>
  <si>
    <t>Note</t>
  </si>
  <si>
    <t>Name</t>
  </si>
  <si>
    <t>K</t>
  </si>
  <si>
    <t>Chemical formula</t>
  </si>
  <si>
    <t>Treatment measures</t>
  </si>
  <si>
    <t>Describe</t>
  </si>
  <si>
    <r>
      <rPr>
        <rFont val="Arial"/>
        <b/>
        <color theme="1"/>
        <sz val="9.0"/>
      </rPr>
      <t>B</t>
    </r>
    <r>
      <rPr>
        <rFont val="Arial"/>
        <b/>
        <color theme="1"/>
        <sz val="9.0"/>
        <vertAlign val="subscript"/>
      </rPr>
      <t>o</t>
    </r>
  </si>
  <si>
    <t>January</t>
  </si>
  <si>
    <r>
      <rPr>
        <rFont val="Arial"/>
        <b/>
        <color theme="1"/>
        <sz val="9.0"/>
      </rPr>
      <t>CH</t>
    </r>
    <r>
      <rPr>
        <rFont val="Arial"/>
        <b/>
        <color theme="1"/>
        <sz val="9.0"/>
        <vertAlign val="subscript"/>
      </rPr>
      <t>4</t>
    </r>
  </si>
  <si>
    <t>February</t>
  </si>
  <si>
    <t>MCF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</si>
  <si>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</si>
  <si>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</si>
  <si>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</si>
  <si>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</si>
  <si>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</si>
  <si>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</si>
  <si>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</si>
  <si>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</si>
  <si>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</si>
  <si>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</si>
  <si>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Consumption</t>
  </si>
  <si>
    <t>Conversion Factor</t>
  </si>
  <si>
    <t>Diesel Oil</t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</si>
  <si>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 xml:space="preserve"> Emission Factor</t>
    </r>
  </si>
  <si>
    <t>tons/m3</t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</si>
  <si>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 xml:space="preserve"> Emissions</t>
    </r>
  </si>
  <si>
    <t>0,82-0,86</t>
  </si>
  <si>
    <r>
      <rPr>
        <rFont val="Arial"/>
        <color theme="1"/>
        <sz val="8.0"/>
      </rPr>
      <t>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 xml:space="preserve"> Emission Factor</t>
    </r>
  </si>
  <si>
    <r>
      <rPr>
        <rFont val="Arial"/>
        <color theme="1"/>
        <sz val="8.0"/>
      </rPr>
      <t>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 xml:space="preserve"> Emissions</t>
    </r>
  </si>
  <si>
    <t>TCVN 5689:2013</t>
  </si>
  <si>
    <r>
      <rPr>
        <rFont val="Arial"/>
        <color theme="1"/>
        <sz val="8.0"/>
      </rPr>
      <t>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 Emission Factor</t>
    </r>
  </si>
  <si>
    <r>
      <rPr>
        <rFont val="Arial"/>
        <color theme="1"/>
        <sz val="8.0"/>
      </rPr>
      <t>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OEmissions</t>
    </r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</si>
  <si>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e Emissions</t>
    </r>
  </si>
  <si>
    <t>Carbon dioxide</t>
  </si>
  <si>
    <r>
      <rPr>
        <rFont val="Arial"/>
        <color rgb="FF000000"/>
        <sz val="9.0"/>
      </rPr>
      <t>CO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 xml:space="preserve"> </t>
    </r>
  </si>
  <si>
    <t>Domestic wastewater</t>
  </si>
  <si>
    <t>Ktonnes</t>
  </si>
  <si>
    <t>(TJ/Ktonnes)</t>
  </si>
  <si>
    <t>(TJ)</t>
  </si>
  <si>
    <r>
      <rPr>
        <rFont val="Arial"/>
        <color theme="1"/>
        <sz val="8.0"/>
      </rPr>
      <t>(kg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/TJ)</t>
    </r>
  </si>
  <si>
    <r>
      <rPr>
        <rFont val="Arial"/>
        <color theme="1"/>
        <sz val="9.0"/>
      </rPr>
      <t>kgCH</t>
    </r>
    <r>
      <rPr>
        <rFont val="Arial"/>
        <color theme="1"/>
        <sz val="9.0"/>
        <vertAlign val="subscript"/>
      </rPr>
      <t>4</t>
    </r>
    <r>
      <rPr>
        <rFont val="Arial"/>
        <color theme="1"/>
        <sz val="9.0"/>
      </rPr>
      <t>/kgBOD</t>
    </r>
  </si>
  <si>
    <r>
      <rPr>
        <rFont val="Arial"/>
        <color theme="1"/>
        <sz val="8.0"/>
      </rPr>
      <t>(tonnes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</si>
  <si>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(kg 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>/TJ)</t>
    </r>
  </si>
  <si>
    <r>
      <rPr>
        <rFont val="Arial"/>
        <color theme="1"/>
        <sz val="8.0"/>
      </rPr>
      <t>(tonnes 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</si>
  <si>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(kg 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 /TJ)</t>
    </r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</si>
  <si>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 xml:space="preserve"> Emission Factor</t>
    </r>
  </si>
  <si>
    <r>
      <rPr>
        <rFont val="Arial"/>
        <color theme="1"/>
        <sz val="8.0"/>
      </rPr>
      <t>(tonnes 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O)</t>
    </r>
  </si>
  <si>
    <t>Methane conversion factor of aerobic and concentrated wastewater treatment system</t>
  </si>
  <si>
    <r>
      <rPr>
        <rFont val="Arial"/>
        <color theme="1"/>
        <sz val="8.0"/>
      </rPr>
      <t>(tonnes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e)</t>
    </r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</si>
  <si>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</si>
  <si>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 xml:space="preserve"> Emissions</t>
    </r>
  </si>
  <si>
    <r>
      <rPr>
        <rFont val="Arial"/>
        <color theme="1"/>
        <sz val="8.0"/>
      </rPr>
      <t>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 xml:space="preserve"> Emission Factor</t>
    </r>
  </si>
  <si>
    <r>
      <rPr>
        <rFont val="Arial"/>
        <color theme="1"/>
        <sz val="8.0"/>
      </rPr>
      <t>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 xml:space="preserve"> Emissions</t>
    </r>
  </si>
  <si>
    <r>
      <rPr>
        <rFont val="Arial"/>
        <color theme="1"/>
        <sz val="8.0"/>
      </rPr>
      <t>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 Emission Factor</t>
    </r>
  </si>
  <si>
    <t>Other Kerosene</t>
  </si>
  <si>
    <r>
      <rPr>
        <rFont val="Arial"/>
        <color theme="1"/>
        <sz val="8.0"/>
      </rPr>
      <t>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OEmissions</t>
    </r>
  </si>
  <si>
    <t>Liter</t>
  </si>
  <si>
    <r>
      <rPr>
        <rFont val="Arial"/>
        <color theme="1"/>
        <sz val="8.0"/>
      </rPr>
      <t>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e Emissions</t>
    </r>
  </si>
  <si>
    <t>Methane</t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</si>
  <si>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  <r>
      <rPr>
        <rFont val="Arial"/>
        <color rgb="FF000000"/>
        <sz val="9.0"/>
      </rPr>
      <t xml:space="preserve"> </t>
    </r>
  </si>
  <si>
    <t>Industrial wastewater</t>
  </si>
  <si>
    <r>
      <rPr>
        <rFont val="Arial"/>
        <color theme="1"/>
        <sz val="9.0"/>
      </rPr>
      <t>kgCH</t>
    </r>
    <r>
      <rPr>
        <rFont val="Arial"/>
        <color theme="1"/>
        <sz val="9.0"/>
        <vertAlign val="subscript"/>
      </rPr>
      <t>4</t>
    </r>
    <r>
      <rPr>
        <rFont val="Arial"/>
        <color theme="1"/>
        <sz val="9.0"/>
      </rPr>
      <t>/kgCOD</t>
    </r>
  </si>
  <si>
    <r>
      <rPr>
        <rFont val="Arial"/>
        <color theme="1"/>
        <sz val="8.0"/>
      </rPr>
      <t>(kg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/TJ)</t>
    </r>
  </si>
  <si>
    <t>Methane conversion factor of septic system</t>
  </si>
  <si>
    <r>
      <rPr>
        <rFont val="Arial"/>
        <color theme="1"/>
        <sz val="8.0"/>
      </rPr>
      <t>(tonnes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)</t>
    </r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</si>
  <si>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</si>
  <si>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r>
      <rPr>
        <rFont val="Arial"/>
        <color theme="1"/>
        <sz val="8.0"/>
      </rPr>
      <t>(kg 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>/TJ)</t>
    </r>
  </si>
  <si>
    <t>C=A*B</t>
  </si>
  <si>
    <r>
      <rPr>
        <rFont val="Arial"/>
        <color theme="1"/>
        <sz val="8.0"/>
      </rPr>
      <t>(tonnes CH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</si>
  <si>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(kg 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 /TJ)</t>
    </r>
  </si>
  <si>
    <r>
      <rPr>
        <rFont val="Arial"/>
        <color theme="1"/>
        <sz val="8.0"/>
      </rPr>
      <t>(tonnes N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O)</t>
    </r>
  </si>
  <si>
    <t>Gasoline</t>
  </si>
  <si>
    <t>kg/Liter</t>
  </si>
  <si>
    <r>
      <rPr>
        <rFont val="Arial"/>
        <color theme="1"/>
        <sz val="8.0"/>
      </rPr>
      <t>(tonnes CO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e)</t>
    </r>
  </si>
  <si>
    <r>
      <rPr>
        <rFont val="Arial"/>
        <b/>
        <color theme="1"/>
        <sz val="8.0"/>
      </rPr>
      <t>E=C*D/10</t>
    </r>
    <r>
      <rPr>
        <rFont val="Arial"/>
        <b/>
        <color theme="1"/>
        <sz val="8.0"/>
        <vertAlign val="superscript"/>
      </rPr>
      <t>6</t>
    </r>
  </si>
  <si>
    <t>15 degrees Celsius</t>
  </si>
  <si>
    <t>Nitrous oxide</t>
  </si>
  <si>
    <r>
      <rPr>
        <rFont val="Arial"/>
        <b/>
        <color theme="1"/>
        <sz val="8.0"/>
      </rPr>
      <t>G=C*F/10</t>
    </r>
    <r>
      <rPr>
        <rFont val="Arial"/>
        <b/>
        <color theme="1"/>
        <sz val="8.0"/>
        <vertAlign val="superscript"/>
      </rPr>
      <t>6</t>
    </r>
  </si>
  <si>
    <r>
      <rPr>
        <rFont val="Arial"/>
        <color rgb="FF000000"/>
        <sz val="9.0"/>
      </rPr>
      <t>N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 xml:space="preserve">O </t>
    </r>
  </si>
  <si>
    <r>
      <rPr>
        <rFont val="Arial"/>
        <b/>
        <color theme="1"/>
        <sz val="8.0"/>
      </rPr>
      <t>I=C*H/10</t>
    </r>
    <r>
      <rPr>
        <rFont val="Arial"/>
        <b/>
        <color theme="1"/>
        <sz val="8.0"/>
        <vertAlign val="superscript"/>
      </rPr>
      <t>6</t>
    </r>
  </si>
  <si>
    <t>K=E+G*28+I*273</t>
  </si>
  <si>
    <t>Methane conversion factor of untreated wastewater that is discharged into river, lake and sea</t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</si>
  <si>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</si>
  <si>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t>Liquid fuels</t>
  </si>
  <si>
    <t>Natural Gas</t>
  </si>
  <si>
    <t>tons/mil. m3</t>
  </si>
  <si>
    <t>PVN, GPP Southeast region</t>
  </si>
  <si>
    <t>Summary Detail</t>
  </si>
  <si>
    <t>Sulfur hexafluoride</t>
  </si>
  <si>
    <r>
      <rPr>
        <rFont val="Arial"/>
        <color rgb="FF000000"/>
        <sz val="9.0"/>
      </rPr>
      <t>SF</t>
    </r>
    <r>
      <rPr>
        <rFont val="Arial"/>
        <color rgb="FF000000"/>
        <sz val="9.0"/>
        <vertAlign val="subscript"/>
      </rPr>
      <t>6</t>
    </r>
    <r>
      <rPr>
        <rFont val="Arial"/>
        <color rgb="FF000000"/>
        <sz val="9.0"/>
      </rPr>
      <t xml:space="preserve"> </t>
    </r>
  </si>
  <si>
    <r>
      <rPr>
        <rFont val="Arial"/>
        <b/>
        <color theme="1"/>
        <sz val="8.0"/>
      </rPr>
      <t>E=C*D/10</t>
    </r>
    <r>
      <rPr>
        <rFont val="Arial"/>
        <b/>
        <color theme="1"/>
        <sz val="8.0"/>
        <vertAlign val="superscript"/>
      </rPr>
      <t>6</t>
    </r>
  </si>
  <si>
    <r>
      <rPr>
        <rFont val="Arial"/>
        <color rgb="FF000000"/>
        <sz val="9.0"/>
      </rPr>
      <t>N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>O emission factor (Kg N2O-N/kg-N)</t>
    </r>
  </si>
  <si>
    <r>
      <rPr>
        <rFont val="Arial"/>
        <b/>
        <color theme="1"/>
        <sz val="8.0"/>
      </rPr>
      <t>G=C*F/10</t>
    </r>
    <r>
      <rPr>
        <rFont val="Arial"/>
        <b/>
        <color theme="1"/>
        <sz val="8.0"/>
        <vertAlign val="superscript"/>
      </rPr>
      <t>6</t>
    </r>
  </si>
  <si>
    <r>
      <rPr>
        <rFont val="Arial"/>
        <color rgb="FF000000"/>
        <sz val="9.0"/>
      </rPr>
      <t>N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>O</t>
    </r>
  </si>
  <si>
    <r>
      <rPr>
        <rFont val="Arial"/>
        <b/>
        <color theme="1"/>
        <sz val="8.0"/>
      </rPr>
      <t>I=C*H/10</t>
    </r>
    <r>
      <rPr>
        <rFont val="Arial"/>
        <b/>
        <color theme="1"/>
        <sz val="8.0"/>
        <vertAlign val="superscript"/>
      </rPr>
      <t>6</t>
    </r>
  </si>
  <si>
    <t>kg/m3</t>
  </si>
  <si>
    <t>Nitrogen trichloride</t>
  </si>
  <si>
    <r>
      <rPr>
        <rFont val="Arial"/>
        <color rgb="FF000000"/>
        <sz val="9.0"/>
      </rPr>
      <t>NF</t>
    </r>
    <r>
      <rPr>
        <rFont val="Arial"/>
        <color rgb="FF000000"/>
        <sz val="9.0"/>
        <vertAlign val="subscript"/>
      </rPr>
      <t>3</t>
    </r>
    <r>
      <rPr>
        <rFont val="Arial"/>
        <color rgb="FF000000"/>
        <sz val="9.0"/>
      </rPr>
      <t xml:space="preserve"> </t>
    </r>
  </si>
  <si>
    <t>LPG</t>
  </si>
  <si>
    <t>GWP</t>
  </si>
  <si>
    <t>IEA’s Energy Statistics Manual (OECD/IEA, 2004)</t>
  </si>
  <si>
    <t>Suppose the mixture is 70% propane and 30% butane by mass.</t>
  </si>
  <si>
    <t>HFC-23 (R-23)</t>
  </si>
  <si>
    <r>
      <rPr>
        <rFont val="Arial"/>
        <color rgb="FF000000"/>
        <sz val="9.0"/>
      </rPr>
      <t>CHF</t>
    </r>
    <r>
      <rPr>
        <rFont val="Arial"/>
        <color rgb="FF000000"/>
        <sz val="9.0"/>
        <vertAlign val="subscript"/>
      </rPr>
      <t xml:space="preserve">3 </t>
    </r>
  </si>
  <si>
    <t>Crude Oil</t>
  </si>
  <si>
    <r>
      <rPr>
        <rFont val="Arial"/>
        <b/>
        <color theme="1"/>
        <sz val="9.0"/>
      </rPr>
      <t>D</t>
    </r>
    <r>
      <rPr>
        <rFont val="Arial"/>
        <b/>
        <color rgb="FF000000"/>
        <sz val="9.0"/>
      </rPr>
      <t>efault MCF values for Industrial wastewater</t>
    </r>
  </si>
  <si>
    <t>Liters/tons</t>
  </si>
  <si>
    <t>Unit: Tonnes</t>
  </si>
  <si>
    <t>HFC-32 (R-32)</t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</si>
  <si>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>F</t>
    </r>
    <r>
      <rPr>
        <rFont val="Arial"/>
        <color rgb="FF000000"/>
        <sz val="9.0"/>
        <vertAlign val="subscript"/>
      </rPr>
      <t xml:space="preserve">2 </t>
    </r>
  </si>
  <si>
    <t>Unit: Tonnes CO2e</t>
  </si>
  <si>
    <r>
      <rPr>
        <rFont val="Arial"/>
        <b/>
        <color theme="1"/>
        <sz val="9.0"/>
      </rPr>
      <t>CH</t>
    </r>
    <r>
      <rPr>
        <rFont val="Arial"/>
        <b/>
        <color theme="1"/>
        <sz val="9.0"/>
        <vertAlign val="subscript"/>
      </rPr>
      <t>4</t>
    </r>
  </si>
  <si>
    <t xml:space="preserve">MCF </t>
  </si>
  <si>
    <t>LNG</t>
  </si>
  <si>
    <t>CNG, PVGas</t>
  </si>
  <si>
    <t>HFC-134a (R-134a)</t>
  </si>
  <si>
    <t>Categories</t>
  </si>
  <si>
    <r>
      <rPr>
        <rFont val="Arial"/>
        <color rgb="FF000000"/>
        <sz val="9.0"/>
      </rPr>
      <t>C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>H</t>
    </r>
    <r>
      <rPr>
        <rFont val="Arial"/>
        <color rgb="FF000000"/>
        <sz val="9.0"/>
        <vertAlign val="subscript"/>
      </rPr>
      <t>2</t>
    </r>
    <r>
      <rPr>
        <rFont val="Arial"/>
        <color rgb="FF000000"/>
        <sz val="9.0"/>
      </rPr>
      <t>F</t>
    </r>
    <r>
      <rPr>
        <rFont val="Arial"/>
        <color rgb="FF000000"/>
        <sz val="9.0"/>
        <vertAlign val="subscript"/>
      </rPr>
      <t>4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</si>
  <si>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</si>
  <si>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t>Biogas</t>
  </si>
  <si>
    <t>0,9-0,95</t>
  </si>
  <si>
    <t>https://tincay.com/khi-biogas-va-dac-tinh-sinh-hoc/</t>
  </si>
  <si>
    <r>
      <rPr>
        <rFont val="Arial"/>
        <b/>
        <color theme="1"/>
        <sz val="10.0"/>
      </rPr>
      <t>CO</t>
    </r>
    <r>
      <rPr>
        <rFont val="Arial"/>
        <b/>
        <color theme="1"/>
        <sz val="10.0"/>
        <vertAlign val="subscript"/>
      </rPr>
      <t xml:space="preserve">2 </t>
    </r>
    <r>
      <rPr>
        <rFont val="Arial"/>
        <b/>
        <color theme="1"/>
        <sz val="10.0"/>
      </rPr>
      <t>Emissions</t>
    </r>
  </si>
  <si>
    <r>
      <rPr>
        <rFont val="Arial"/>
        <b/>
        <color theme="1"/>
        <sz val="10.0"/>
      </rPr>
      <t>CH</t>
    </r>
    <r>
      <rPr>
        <rFont val="Arial"/>
        <b/>
        <color theme="1"/>
        <sz val="10.0"/>
        <vertAlign val="subscript"/>
      </rPr>
      <t xml:space="preserve">4 </t>
    </r>
    <r>
      <rPr>
        <rFont val="Arial"/>
        <b/>
        <color theme="1"/>
        <sz val="10.0"/>
      </rPr>
      <t>Emissions</t>
    </r>
  </si>
  <si>
    <r>
      <rPr>
        <rFont val="Arial"/>
        <b/>
        <color theme="1"/>
        <sz val="10.0"/>
      </rPr>
      <t>N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O Emissions</t>
    </r>
  </si>
  <si>
    <t>HFC-227ea (R-227ea)</t>
  </si>
  <si>
    <r>
      <rPr>
        <rFont val="Arial"/>
        <color rgb="FF000000"/>
        <sz val="9.0"/>
      </rPr>
      <t>C</t>
    </r>
    <r>
      <rPr>
        <rFont val="Arial"/>
        <color rgb="FF000000"/>
        <sz val="9.0"/>
        <vertAlign val="subscript"/>
      </rPr>
      <t>3</t>
    </r>
    <r>
      <rPr>
        <rFont val="Arial"/>
        <color rgb="FF000000"/>
        <sz val="9.0"/>
      </rPr>
      <t>HF</t>
    </r>
    <r>
      <rPr>
        <rFont val="Arial"/>
        <color rgb="FF000000"/>
        <sz val="9.0"/>
        <vertAlign val="subscript"/>
      </rPr>
      <t>7</t>
    </r>
    <r>
      <rPr>
        <rFont val="Arial"/>
        <color rgb="FF000000"/>
        <sz val="9.0"/>
      </rPr>
      <t xml:space="preserve"> </t>
    </r>
  </si>
  <si>
    <t>Total Emissions</t>
  </si>
  <si>
    <t xml:space="preserve">Methane conversion factor of semi-aerobic treatment system (swallow anaerobic) </t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</si>
  <si>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</si>
  <si>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r>
      <rPr>
        <rFont val="Arial"/>
        <b/>
        <color theme="1"/>
        <sz val="10.0"/>
      </rPr>
      <t>CO</t>
    </r>
    <r>
      <rPr>
        <rFont val="Arial"/>
        <b/>
        <color theme="1"/>
        <sz val="10.0"/>
        <vertAlign val="subscript"/>
      </rPr>
      <t xml:space="preserve">2 </t>
    </r>
    <r>
      <rPr>
        <rFont val="Arial"/>
        <b/>
        <color theme="1"/>
        <sz val="10.0"/>
      </rPr>
      <t>Emissions</t>
    </r>
  </si>
  <si>
    <t>Crude oil</t>
  </si>
  <si>
    <t>810-845</t>
  </si>
  <si>
    <t>Dung Quat Oil Refinery</t>
  </si>
  <si>
    <t>Bach Ho Mine, 15 degrees Celsius</t>
  </si>
  <si>
    <r>
      <rPr>
        <rFont val="Arial"/>
        <b/>
        <color theme="1"/>
        <sz val="10.0"/>
      </rPr>
      <t>CH</t>
    </r>
    <r>
      <rPr>
        <rFont val="Arial"/>
        <b/>
        <color theme="1"/>
        <sz val="10.0"/>
        <vertAlign val="subscript"/>
      </rPr>
      <t xml:space="preserve">4 </t>
    </r>
    <r>
      <rPr>
        <rFont val="Arial"/>
        <b/>
        <color theme="1"/>
        <sz val="10.0"/>
      </rPr>
      <t>Emissions</t>
    </r>
  </si>
  <si>
    <r>
      <rPr>
        <rFont val="Arial"/>
        <b/>
        <color theme="1"/>
        <sz val="10.0"/>
      </rPr>
      <t>N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O Emissions</t>
    </r>
  </si>
  <si>
    <t>HCFC-22 (R-22)</t>
  </si>
  <si>
    <t>Total %</t>
  </si>
  <si>
    <r>
      <rPr>
        <rFont val="Arial"/>
        <color theme="1"/>
        <sz val="9.0"/>
      </rPr>
      <t>CHClF</t>
    </r>
    <r>
      <rPr>
        <rFont val="Arial"/>
        <color theme="1"/>
        <sz val="9.0"/>
        <vertAlign val="subscript"/>
      </rPr>
      <t>2</t>
    </r>
  </si>
  <si>
    <t>Methane conversion factor of deep anaerobic system</t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</si>
  <si>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</si>
  <si>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t>Orimulsion</t>
  </si>
  <si>
    <r>
      <rPr>
        <rFont val="Arial"/>
        <color theme="1"/>
        <sz val="10.0"/>
      </rPr>
      <t>tonnes CO</t>
    </r>
    <r>
      <rPr>
        <rFont val="Arial"/>
        <color theme="1"/>
        <sz val="10.0"/>
        <vertAlign val="subscript"/>
      </rPr>
      <t>2</t>
    </r>
  </si>
  <si>
    <t>Nghi Son Refinery and Petrochemical Plant</t>
  </si>
  <si>
    <t>Crude oil imports</t>
  </si>
  <si>
    <t>HCFC-123 (R-123)</t>
  </si>
  <si>
    <r>
      <rPr>
        <rFont val="Arial"/>
        <color theme="1"/>
        <sz val="10.0"/>
      </rPr>
      <t>tonnes CH</t>
    </r>
    <r>
      <rPr>
        <rFont val="Arial"/>
        <color theme="1"/>
        <sz val="10.0"/>
        <vertAlign val="subscript"/>
      </rPr>
      <t>4</t>
    </r>
  </si>
  <si>
    <r>
      <rPr>
        <rFont val="Arial"/>
        <color theme="1"/>
        <sz val="9.0"/>
      </rPr>
      <t>C</t>
    </r>
    <r>
      <rPr>
        <rFont val="Arial"/>
        <color theme="1"/>
        <sz val="9.0"/>
        <vertAlign val="subscript"/>
      </rPr>
      <t>2</t>
    </r>
    <r>
      <rPr>
        <rFont val="Arial"/>
        <color theme="1"/>
        <sz val="9.0"/>
      </rPr>
      <t>HCl</t>
    </r>
    <r>
      <rPr>
        <rFont val="Arial"/>
        <color theme="1"/>
        <sz val="9.0"/>
        <vertAlign val="subscript"/>
      </rPr>
      <t>2</t>
    </r>
    <r>
      <rPr>
        <rFont val="Arial"/>
        <color theme="1"/>
        <sz val="9.0"/>
      </rPr>
      <t>F</t>
    </r>
    <r>
      <rPr>
        <rFont val="Arial"/>
        <color theme="1"/>
        <sz val="9.0"/>
        <vertAlign val="subscript"/>
      </rPr>
      <t>3</t>
    </r>
  </si>
  <si>
    <r>
      <rPr>
        <rFont val="Arial"/>
        <color theme="1"/>
        <sz val="10.0"/>
      </rPr>
      <t>tonnes N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O</t>
    </r>
  </si>
  <si>
    <r>
      <rPr>
        <rFont val="Arial"/>
        <color rgb="FF000000"/>
        <sz val="9.0"/>
      </rPr>
      <t>CH</t>
    </r>
    <r>
      <rPr>
        <rFont val="Arial"/>
        <color rgb="FF000000"/>
        <sz val="9.0"/>
        <vertAlign val="subscript"/>
      </rPr>
      <t>4</t>
    </r>
  </si>
  <si>
    <r>
      <rPr>
        <rFont val="Arial"/>
        <color theme="1"/>
        <sz val="10.0"/>
      </rPr>
      <t>tonnes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e</t>
    </r>
  </si>
  <si>
    <t>…</t>
  </si>
  <si>
    <t>R-410A</t>
  </si>
  <si>
    <r>
      <rPr>
        <rFont val="Arial"/>
        <color theme="1"/>
        <sz val="10.0"/>
      </rPr>
      <t>tonnes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e</t>
    </r>
  </si>
  <si>
    <t>R-32/R-125 (50/50)</t>
  </si>
  <si>
    <t>Natural Gas Liquids</t>
  </si>
  <si>
    <t>R-404A</t>
  </si>
  <si>
    <t>R-125/R-143a/R-134a (44/52/4)</t>
  </si>
  <si>
    <t>D = A+B*28+C*273</t>
  </si>
  <si>
    <t>D = A+B+C</t>
  </si>
  <si>
    <t>R-407C</t>
  </si>
  <si>
    <t>R-32/R-125/R-134a (23/25/52)</t>
  </si>
  <si>
    <t>Motor Gasoline</t>
  </si>
  <si>
    <t>Litres</t>
  </si>
  <si>
    <t>Aviation Gasoline</t>
  </si>
  <si>
    <t>Jet Gasoline</t>
  </si>
  <si>
    <t>Jet Kerosene</t>
  </si>
  <si>
    <t>Scope 1</t>
  </si>
  <si>
    <t>Shale Oil</t>
  </si>
  <si>
    <t>Gas / Diesel Oil</t>
  </si>
  <si>
    <t>tonnes</t>
  </si>
  <si>
    <t>S1-Stationary Combustion</t>
  </si>
  <si>
    <t>Residual Fuel Oil</t>
  </si>
  <si>
    <t>S1-Mobile Combustion</t>
  </si>
  <si>
    <t>kg</t>
  </si>
  <si>
    <t>Ethane</t>
  </si>
  <si>
    <t>Naphtha</t>
  </si>
  <si>
    <t>S1-Refrigerants</t>
  </si>
  <si>
    <t>Bitumen</t>
  </si>
  <si>
    <t>S1-Industrial processes</t>
  </si>
  <si>
    <t>Lubricants</t>
  </si>
  <si>
    <t>S1-Wastewater Treatment</t>
  </si>
  <si>
    <t>Petroleum Coke</t>
  </si>
  <si>
    <t>Scope 2</t>
  </si>
  <si>
    <t>Refinery Feedstocks</t>
  </si>
  <si>
    <t>S2-Electricity Consumption</t>
  </si>
  <si>
    <t>Refinery Gas</t>
  </si>
  <si>
    <t>Paraffin Waxes</t>
  </si>
  <si>
    <t>Other Petroleum Products</t>
  </si>
  <si>
    <t>Solid fuels</t>
  </si>
  <si>
    <t>Anthracite</t>
  </si>
  <si>
    <t>Coking Coal</t>
  </si>
  <si>
    <t>Other Bituminous Coal</t>
  </si>
  <si>
    <t>Sub-bituminous coal</t>
  </si>
  <si>
    <t>Lignite</t>
  </si>
  <si>
    <t>Oil Shale and Tar Sands</t>
  </si>
  <si>
    <t>Brown Coal Briquettes</t>
  </si>
  <si>
    <t>Patent Fuel</t>
  </si>
  <si>
    <t>Coke Oven Coke / Lignite Coke</t>
  </si>
  <si>
    <t>Gas Coke</t>
  </si>
  <si>
    <t>Coal Tar</t>
  </si>
  <si>
    <t>Gas Work Gas</t>
  </si>
  <si>
    <t>Coke Oven Gas</t>
  </si>
  <si>
    <t>Blast Furnace Gas</t>
  </si>
  <si>
    <t>Oxygen Steel Furnace Gas</t>
  </si>
  <si>
    <t xml:space="preserve">Natural gas </t>
  </si>
  <si>
    <t>Natural Gas (Dry)</t>
  </si>
  <si>
    <t>Other fossil fuels</t>
  </si>
  <si>
    <t>Municipal wastes (non-biomass fraction)</t>
  </si>
  <si>
    <t>Industrial Wastes</t>
  </si>
  <si>
    <t>Waste Oils</t>
  </si>
  <si>
    <t>Peat</t>
  </si>
  <si>
    <t>Total</t>
  </si>
  <si>
    <t xml:space="preserve">Biomass </t>
  </si>
  <si>
    <r>
      <rPr>
        <rFont val="Arial"/>
        <b/>
        <color theme="1"/>
        <sz val="8.0"/>
      </rPr>
      <t>Information Items</t>
    </r>
    <r>
      <rPr>
        <rFont val="Arial"/>
        <b val="0"/>
        <color theme="1"/>
        <sz val="8.0"/>
        <vertAlign val="superscript"/>
      </rPr>
      <t>b</t>
    </r>
  </si>
  <si>
    <t>Wood / Wood Waste</t>
  </si>
  <si>
    <t>Sulphite Lyes</t>
  </si>
  <si>
    <t>Other Primary Solid Biomass</t>
  </si>
  <si>
    <t>Charcoal</t>
  </si>
  <si>
    <r>
      <rPr>
        <rFont val="Arial"/>
        <b/>
        <color theme="1"/>
        <sz val="8.0"/>
      </rPr>
      <t>Information Items</t>
    </r>
    <r>
      <rPr>
        <rFont val="Arial"/>
        <b val="0"/>
        <color theme="1"/>
        <sz val="8.0"/>
        <vertAlign val="superscript"/>
      </rPr>
      <t>b</t>
    </r>
  </si>
  <si>
    <t>Biogasoline</t>
  </si>
  <si>
    <t>Biodiesels</t>
  </si>
  <si>
    <t>Other Liquid Biofuels</t>
  </si>
  <si>
    <t>Landfill Gas</t>
  </si>
  <si>
    <t>Sludge Gas</t>
  </si>
  <si>
    <t>Other Biogas</t>
  </si>
  <si>
    <t>Municipal wastes (biomass fraction)</t>
  </si>
  <si>
    <t>International Steam Table calorie</t>
  </si>
  <si>
    <t>1cal = 4.1868J</t>
  </si>
  <si>
    <t>= tC/TJ * 44/12 * 1000 * Fraction Oxidized</t>
  </si>
  <si>
    <t>= kgCH4 / 1000000</t>
  </si>
  <si>
    <t>= kgN2O / 1000000</t>
  </si>
  <si>
    <t>= kgCO2/TJ</t>
  </si>
  <si>
    <t>= GgCH4</t>
  </si>
  <si>
    <t>= GgN2O</t>
  </si>
  <si>
    <t>Fraction Oxidized</t>
  </si>
  <si>
    <t>= kg</t>
  </si>
  <si>
    <t>Coal : 0.98</t>
  </si>
  <si>
    <t>= 10^3 g</t>
  </si>
  <si>
    <t>Oil and Oil Products : 0.99</t>
  </si>
  <si>
    <t>= 10^G9/10^6</t>
  </si>
  <si>
    <t>Gas : 0.995</t>
  </si>
  <si>
    <t>= Gg / 10^6</t>
  </si>
  <si>
    <t>Peat for electricity generation : 0.99</t>
  </si>
  <si>
    <t>Scope 1 - Refrigerants Use</t>
  </si>
  <si>
    <t>Amount of refrigerant charged 2020</t>
  </si>
  <si>
    <t>Refrigerant type</t>
  </si>
  <si>
    <t xml:space="preserve">GWP of the Refrigerant </t>
  </si>
  <si>
    <t>Total annual recharge</t>
  </si>
  <si>
    <t>Total emissions</t>
  </si>
  <si>
    <t>(kg)</t>
  </si>
  <si>
    <t>(tonnes/kg)</t>
  </si>
  <si>
    <r>
      <rPr>
        <rFont val="Arial"/>
        <color theme="1"/>
        <sz val="10.0"/>
      </rPr>
      <t>(tonnes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e/year)</t>
    </r>
  </si>
  <si>
    <t>E = B * C * D</t>
  </si>
  <si>
    <t>R-410A (Chemours)</t>
  </si>
  <si>
    <t>Scope 1 - Industrial processes</t>
  </si>
  <si>
    <t>AD from industrial processes 2024</t>
  </si>
  <si>
    <t xml:space="preserve"> Product name/fuel used</t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</si>
  <si>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Emission Factor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</si>
  <si>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Emissions</t>
    </r>
  </si>
  <si>
    <r>
      <rPr>
        <rFont val="Arial"/>
        <color theme="1"/>
        <sz val="10.0"/>
      </rPr>
      <t>(tonnes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/tonne carbonate)</t>
    </r>
  </si>
  <si>
    <r>
      <rPr>
        <rFont val="Arial"/>
        <color theme="1"/>
        <sz val="10.0"/>
      </rPr>
      <t>(tonnes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e/year)</t>
    </r>
  </si>
  <si>
    <t>C = A * B</t>
  </si>
  <si>
    <r>
      <rPr>
        <rFont val="Arial"/>
        <color theme="1"/>
        <sz val="10.0"/>
      </rPr>
      <t>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desulfurization (Limestone content 98.33 %)</t>
    </r>
  </si>
  <si>
    <t>NH3 gas used to reduce NOx</t>
  </si>
  <si>
    <t>N2 gas cleans pipes, runs coal analyzer</t>
  </si>
  <si>
    <t>litrers</t>
  </si>
  <si>
    <t>Welding rod</t>
  </si>
  <si>
    <t>Ammonia solution 25% (NH4OH)</t>
  </si>
  <si>
    <t>Carbohydrazide 99% (CH6N4O)</t>
  </si>
  <si>
    <t>Hydrazine 80% (N2H4)</t>
  </si>
  <si>
    <t>EDTA (C10H16N2O8)</t>
  </si>
  <si>
    <t>Na2CO3</t>
  </si>
  <si>
    <t>AXID CITRIC (C6H8O7)</t>
  </si>
  <si>
    <t>ANIONIC POLYMER (CONH2[CH2-CH-]n)</t>
  </si>
  <si>
    <t>Scope 1 - Wastewater Treatment</t>
  </si>
  <si>
    <t>Type of treatment or discharge</t>
  </si>
  <si>
    <t>Amount of wastewater generated 2024</t>
  </si>
  <si>
    <t>Biochemical oxygen Demand (BOD)</t>
  </si>
  <si>
    <t>Organically degradable material in wastewater</t>
  </si>
  <si>
    <t>Maximum methane generation potential</t>
  </si>
  <si>
    <t>Methane correction factor for treatment system</t>
  </si>
  <si>
    <t>Emission factor</t>
  </si>
  <si>
    <t>Sludge is removed</t>
  </si>
  <si>
    <r>
      <rPr>
        <rFont val="Arial"/>
        <color theme="1"/>
        <sz val="10.0"/>
      </rPr>
      <t>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 is recovered in the treatment system</t>
    </r>
  </si>
  <si>
    <t>Net methane emissions</t>
  </si>
  <si>
    <r>
      <rPr>
        <rFont val="Arial"/>
        <b/>
        <color theme="1"/>
        <sz val="10.0"/>
      </rPr>
      <t>CO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e Emissions</t>
    </r>
  </si>
  <si>
    <r>
      <rPr>
        <rFont val="Arial"/>
        <color theme="1"/>
        <sz val="10.0"/>
      </rPr>
      <t>(W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</si>
  <si>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(BOD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</si>
  <si>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(TOW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</si>
  <si>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(B</t>
    </r>
    <r>
      <rPr>
        <rFont val="Arial"/>
        <color theme="1"/>
        <sz val="10.0"/>
        <vertAlign val="subscript"/>
      </rPr>
      <t>0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</si>
  <si>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(MCF</t>
    </r>
    <r>
      <rPr>
        <rFont val="Arial"/>
        <color theme="1"/>
        <sz val="10.0"/>
        <vertAlign val="subscript"/>
      </rPr>
      <t>j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</si>
  <si>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(EF</t>
    </r>
    <r>
      <rPr>
        <rFont val="Arial"/>
        <color theme="1"/>
        <sz val="10.0"/>
        <vertAlign val="subscript"/>
      </rPr>
      <t>j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</si>
  <si>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(S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</si>
  <si>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(R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</si>
  <si>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</si>
  <si>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/year)</t>
    </r>
  </si>
  <si>
    <r>
      <rPr>
        <rFont val="Arial"/>
        <color theme="1"/>
        <sz val="10.0"/>
      </rPr>
      <t>(kgBOD/m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</si>
  <si>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(kgBOD/year)</t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</si>
  <si>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/kg BOD)</t>
    </r>
  </si>
  <si>
    <t>( - )</t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</si>
  <si>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/kg BOD)</t>
    </r>
  </si>
  <si>
    <t>(kg BOD/year)</t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</si>
  <si>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4/</t>
    </r>
    <r>
      <rPr>
        <rFont val="Arial"/>
        <color theme="1"/>
        <sz val="10.0"/>
      </rPr>
      <t>year)</t>
    </r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</si>
  <si>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/year)</t>
    </r>
  </si>
  <si>
    <r>
      <rPr>
        <rFont val="Arial"/>
        <b/>
        <color theme="1"/>
        <sz val="10.0"/>
      </rPr>
      <t>tCO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e/year</t>
    </r>
  </si>
  <si>
    <t>F = D * E</t>
  </si>
  <si>
    <t>I = [(C – G) * F] – H</t>
  </si>
  <si>
    <t>K = I * 28/1000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</si>
  <si>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</si>
  <si>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</si>
  <si>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</si>
  <si>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</si>
  <si>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t>Scope 2 - Electricity Consumption</t>
  </si>
  <si>
    <t>Chemical oxygen demand (COD)</t>
  </si>
  <si>
    <t>Month</t>
  </si>
  <si>
    <t>Amount of electricity purchased from the national grid in 2024</t>
  </si>
  <si>
    <r>
      <rPr>
        <rFont val="Arial"/>
        <color theme="1"/>
        <sz val="10.0"/>
      </rPr>
      <t>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 is recovered in the treatment system</t>
    </r>
  </si>
  <si>
    <r>
      <rPr>
        <rFont val="Arial"/>
        <b/>
        <color theme="1"/>
        <sz val="10.0"/>
      </rPr>
      <t>CO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e Emissions</t>
    </r>
  </si>
  <si>
    <t>Grid Emissions Factor 2023</t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</si>
  <si>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Emission</t>
    </r>
  </si>
  <si>
    <r>
      <rPr>
        <rFont val="Arial"/>
        <color theme="1"/>
        <sz val="10.0"/>
      </rPr>
      <t>(W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</si>
  <si>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(COD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</si>
  <si>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t>kWh</t>
  </si>
  <si>
    <t>kWh/MWh</t>
  </si>
  <si>
    <r>
      <rPr>
        <rFont val="Arial"/>
        <color theme="1"/>
        <sz val="10.0"/>
      </rPr>
      <t>(TOW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</si>
  <si>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(B</t>
    </r>
    <r>
      <rPr>
        <rFont val="Arial"/>
        <color theme="1"/>
        <sz val="10.0"/>
        <vertAlign val="subscript"/>
      </rPr>
      <t>0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</si>
  <si>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tCO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/MWh</t>
    </r>
  </si>
  <si>
    <r>
      <rPr>
        <rFont val="Arial"/>
        <color theme="1"/>
        <sz val="10.0"/>
      </rPr>
      <t>(MCF</t>
    </r>
    <r>
      <rPr>
        <rFont val="Arial"/>
        <color theme="1"/>
        <sz val="10.0"/>
        <vertAlign val="subscript"/>
      </rPr>
      <t>j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</si>
  <si>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(EF</t>
    </r>
    <r>
      <rPr>
        <rFont val="Arial"/>
        <color theme="1"/>
        <sz val="10.0"/>
        <vertAlign val="subscript"/>
      </rPr>
      <t>j</t>
    </r>
    <r>
      <rPr>
        <rFont val="Arial"/>
        <color theme="1"/>
        <sz val="10.0"/>
      </rPr>
      <t>)</t>
    </r>
  </si>
  <si>
    <t>(tonnes)</t>
  </si>
  <si>
    <r>
      <rPr>
        <rFont val="Arial"/>
        <color theme="1"/>
        <sz val="10.0"/>
      </rPr>
      <t>(S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</si>
  <si>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(R</t>
    </r>
    <r>
      <rPr>
        <rFont val="Arial"/>
        <color theme="1"/>
        <sz val="10.0"/>
        <vertAlign val="subscript"/>
      </rPr>
      <t>i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</si>
  <si>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</si>
  <si>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/year)</t>
    </r>
  </si>
  <si>
    <r>
      <rPr>
        <rFont val="Arial"/>
        <color theme="1"/>
        <sz val="10.0"/>
      </rPr>
      <t>(kgCOD/m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</si>
  <si>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(kgCOD/year)</t>
  </si>
  <si>
    <t>D = A * B * C</t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</si>
  <si>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/kg COD)</t>
    </r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</si>
  <si>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/kg COD)</t>
    </r>
  </si>
  <si>
    <t>(kg COD/year)</t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</si>
  <si>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4/</t>
    </r>
    <r>
      <rPr>
        <rFont val="Arial"/>
        <color theme="1"/>
        <sz val="10.0"/>
      </rPr>
      <t>year)</t>
    </r>
  </si>
  <si>
    <r>
      <rPr>
        <rFont val="Arial"/>
        <color theme="1"/>
        <sz val="10.0"/>
      </rPr>
      <t>(kg CH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/year)</t>
    </r>
  </si>
  <si>
    <r>
      <rPr>
        <rFont val="Arial"/>
        <b/>
        <color theme="1"/>
        <sz val="10.0"/>
      </rPr>
      <t>tCO</t>
    </r>
    <r>
      <rPr>
        <rFont val="Arial"/>
        <b/>
        <color theme="1"/>
        <sz val="10.0"/>
        <vertAlign val="subscript"/>
      </rPr>
      <t>2</t>
    </r>
    <r>
      <rPr>
        <rFont val="Arial"/>
        <b/>
        <color theme="1"/>
        <sz val="10.0"/>
      </rPr>
      <t>e/year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</si>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</sst>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"/>
    <numFmt numFmtId="165" formatCode="_-* #,##0_-;\-* #,##0_-;_-* &quot;-&quot;_-;_-@"/>
    <numFmt numFmtId="166" formatCode="#,##0.0000"/>
    <numFmt numFmtId="167" formatCode="#,##0.00000"/>
    <numFmt numFmtId="168" formatCode="0.0%"/>
    <numFmt numFmtId="169" formatCode="#,##0.000000"/>
    <numFmt numFmtId="170" formatCode="#,##0.00_ "/>
    <numFmt numFmtId="171" formatCode="0.000"/>
    <numFmt numFmtId="172" formatCode="#,##0.0"/>
    <numFmt numFmtId="173" formatCode="_-* #,##0_-;\-* #,##0_-;_-* &quot;-&quot;??_-;_-@"/>
    <numFmt numFmtId="174" formatCode="_-* #,##0.000_-;\-* #,##0.000_-;_-* &quot;-&quot;??_-;_-@"/>
    <numFmt numFmtId="175" formatCode="_(* #,##0_);_(* \(#,##0\);_(* &quot;-&quot;??_);_(@_)"/>
    <numFmt numFmtId="176" formatCode="_-* #,##0.00_-;\-* #,##0.00_-;_-* &quot;-&quot;??_-;_-@"/>
    <numFmt numFmtId="177" formatCode="_-* #,##0.0_-;\-* #,##0.0_-;_-* &quot;-&quot;??_-;_-@"/>
  </numFmts>
  <fonts count="22">
    <font>
      <sz val="10.0"/>
      <color rgb="FF000000"/>
      <name val="Arial"/>
      <scheme val="minor"/>
    </font>
    <font>
      <b/>
      <sz val="10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9.0"/>
      <color rgb="FFFFFFFF"/>
      <name val="Arial"/>
    </font>
    <font>
      <b/>
      <sz val="9.0"/>
      <color theme="1"/>
      <name val="Arial"/>
    </font>
    <font/>
    <font>
      <sz val="8.0"/>
      <color theme="1"/>
      <name val="Arial"/>
    </font>
    <font>
      <sz val="9.0"/>
      <color rgb="FF000000"/>
      <name val="Arial"/>
    </font>
    <font>
      <b/>
      <sz val="8.0"/>
      <color theme="1"/>
      <name val="Arial"/>
    </font>
    <font>
      <b/>
      <i/>
      <sz val="10.0"/>
      <color theme="1"/>
      <name val="Arial"/>
    </font>
    <font>
      <sz val="8.0"/>
      <color rgb="FFFF0000"/>
      <name val="Arial"/>
    </font>
    <font>
      <u/>
      <sz val="9.0"/>
      <color theme="10"/>
      <name val="Arial"/>
    </font>
    <font>
      <sz val="10.0"/>
      <color rgb="FFFF0000"/>
      <name val="Arial"/>
    </font>
    <font>
      <sz val="10.0"/>
      <color rgb="FFBFBFBF"/>
      <name val="Arial"/>
    </font>
    <font>
      <sz val="10.0"/>
      <color rgb="FFD8D8D8"/>
      <name val="Arial"/>
    </font>
    <font>
      <b/>
      <sz val="10.0"/>
      <color rgb="FFD8D8D8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theme="9"/>
        <bgColor theme="9"/>
      </patternFill>
    </fill>
  </fills>
  <borders count="5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theme="8"/>
      </left>
      <right style="medium">
        <color theme="8"/>
      </right>
      <top style="medium">
        <color theme="8"/>
      </top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theme="8"/>
      </left>
      <right style="medium">
        <color theme="8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theme="8"/>
      </left>
      <right style="medium">
        <color theme="8"/>
      </right>
      <bottom/>
    </border>
    <border>
      <left style="medium">
        <color theme="8"/>
      </left>
      <right style="medium">
        <color theme="8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theme="8"/>
      </right>
      <top/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theme="1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theme="8"/>
      </left>
      <right style="medium">
        <color theme="8"/>
      </right>
      <top/>
      <bottom style="medium">
        <color theme="8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theme="8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</border>
    <border>
      <left/>
      <right/>
      <bottom/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medium">
        <color theme="9"/>
      </left>
      <right style="medium">
        <color theme="9"/>
      </right>
      <top style="medium">
        <color theme="9"/>
      </top>
    </border>
    <border>
      <left style="medium">
        <color theme="9"/>
      </left>
      <right style="medium">
        <color theme="9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medium">
        <color theme="9"/>
      </left>
      <right style="medium">
        <color theme="9"/>
      </right>
      <bottom style="medium">
        <color theme="9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4" xfId="0" applyAlignment="1" applyBorder="1" applyFill="1" applyFont="1" applyNumberForma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1" fillId="2" fontId="1" numFmtId="4" xfId="0" applyAlignment="1" applyBorder="1" applyFill="1" applyFont="1" applyNumberFormat="1">
      <alignment horizontal="left" vertical="center"/>
    </xf>
    <xf borderId="1" fillId="3" fontId="4" numFmtId="0" xfId="0" applyBorder="1" applyFill="1" applyFont="1"/>
    <xf borderId="1" fillId="3" fontId="4" numFmtId="0" xfId="0" applyAlignment="1" applyBorder="1" applyFill="1" applyFont="1">
      <alignment horizontal="center"/>
    </xf>
    <xf borderId="1" fillId="3" fontId="4" numFmtId="4" xfId="0" applyBorder="1" applyFill="1" applyFont="1" applyNumberFormat="1"/>
    <xf borderId="1" fillId="3" fontId="5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vertical="center"/>
    </xf>
    <xf borderId="2" fillId="4" fontId="6" numFmtId="0" xfId="0" applyAlignment="1" applyBorder="1" applyFill="1" applyFont="1">
      <alignment horizontal="center" shrinkToFit="0" wrapText="1"/>
    </xf>
    <xf borderId="3" fillId="2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3" fillId="4" fontId="7" numFmtId="4" xfId="0" applyAlignment="1" applyBorder="1" applyFill="1" applyFont="1" applyNumberFormat="1">
      <alignment horizontal="center" shrinkToFit="0" vertical="center" wrapText="1"/>
    </xf>
    <xf borderId="3" fillId="4" fontId="7" numFmtId="4" xfId="0" applyAlignment="1" applyBorder="1" applyFill="1" applyFont="1" applyNumberFormat="1">
      <alignment horizontal="center" shrinkToFit="0" wrapText="1"/>
    </xf>
    <xf borderId="2" fillId="4" fontId="7" numFmtId="4" xfId="0" applyAlignment="1" applyBorder="1" applyFill="1" applyFont="1" applyNumberForma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wrapText="1"/>
    </xf>
    <xf borderId="7" fillId="4" fontId="7" numFmtId="4" xfId="0" applyAlignment="1" applyBorder="1" applyFill="1" applyFont="1" applyNumberFormat="1">
      <alignment horizontal="center" shrinkToFit="0" wrapText="1"/>
    </xf>
    <xf borderId="8" fillId="3" fontId="4" numFmtId="0" xfId="0" applyAlignment="1" applyBorder="1" applyFill="1" applyFont="1">
      <alignment horizontal="left" shrinkToFit="0" vertical="center" wrapText="1"/>
    </xf>
    <xf borderId="9" fillId="0" fontId="8" numFmtId="0" xfId="0" applyBorder="1" applyFont="1"/>
    <xf borderId="10" fillId="0" fontId="8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11" fillId="4" fontId="5" numFmtId="4" xfId="0" applyAlignment="1" applyBorder="1" applyFill="1" applyFont="1" applyNumberFormat="1">
      <alignment horizontal="right" shrinkToFit="0" vertical="top" wrapText="1"/>
    </xf>
    <xf borderId="1" fillId="3" fontId="5" numFmtId="0" xfId="0" applyAlignment="1" applyBorder="1" applyFill="1" applyFont="1">
      <alignment vertical="center"/>
    </xf>
    <xf borderId="11" fillId="4" fontId="9" numFmtId="4" xfId="0" applyAlignment="1" applyBorder="1" applyFill="1" applyFont="1" applyNumberFormat="1">
      <alignment horizontal="center" shrinkToFit="0" vertical="top" wrapText="1"/>
    </xf>
    <xf borderId="11" fillId="2" fontId="7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ill="1" applyFont="1">
      <alignment horizontal="center" shrinkToFit="0" vertical="top" wrapText="1"/>
    </xf>
    <xf borderId="12" fillId="4" fontId="9" numFmtId="4" xfId="0" applyAlignment="1" applyBorder="1" applyFill="1" applyFont="1" applyNumberFormat="1">
      <alignment horizontal="center" shrinkToFit="0" vertical="top" wrapText="1"/>
    </xf>
    <xf borderId="13" fillId="0" fontId="8" numFmtId="0" xfId="0" applyBorder="1" applyFont="1"/>
    <xf borderId="9" fillId="0" fontId="7" numFmtId="0" xfId="0" applyAlignment="1" applyBorder="1" applyFont="1">
      <alignment horizontal="left" vertical="center"/>
    </xf>
    <xf borderId="1" fillId="3" fontId="4" numFmtId="0" xfId="0" applyAlignment="1" applyBorder="1" applyFill="1" applyFont="1">
      <alignment shrinkToFit="0" vertical="center" wrapText="1"/>
    </xf>
    <xf borderId="9" fillId="0" fontId="7" numFmtId="0" xfId="0" applyAlignment="1" applyBorder="1" applyFont="1">
      <alignment horizontal="center" vertical="center"/>
    </xf>
    <xf borderId="14" fillId="3" fontId="7" numFmtId="0" xfId="0" applyAlignment="1" applyBorder="1" applyFill="1" applyFont="1">
      <alignment horizontal="center" vertical="center"/>
    </xf>
    <xf borderId="11" fillId="4" fontId="5" numFmtId="4" xfId="0" applyAlignment="1" applyBorder="1" applyFill="1" applyFont="1" applyNumberFormat="1">
      <alignment horizontal="center" shrinkToFit="0" vertical="center" wrapText="1"/>
    </xf>
    <xf borderId="11" fillId="3" fontId="5" numFmtId="0" xfId="0" applyAlignment="1" applyBorder="1" applyFill="1" applyFont="1">
      <alignment horizontal="center" shrinkToFit="0" vertical="center" wrapText="1"/>
    </xf>
    <xf borderId="11" fillId="3" fontId="5" numFmtId="0" xfId="0" applyAlignment="1" applyBorder="1" applyFill="1" applyFont="1">
      <alignment shrinkToFit="0" vertical="center" wrapText="1"/>
    </xf>
    <xf borderId="15" fillId="0" fontId="8" numFmtId="0" xfId="0" applyBorder="1" applyFont="1"/>
    <xf borderId="11" fillId="0" fontId="10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6" fillId="3" fontId="1" numFmtId="0" xfId="0" applyBorder="1" applyFill="1" applyFont="1"/>
    <xf borderId="17" fillId="0" fontId="8" numFmtId="0" xfId="0" applyBorder="1" applyFont="1"/>
    <xf borderId="11" fillId="0" fontId="10" numFmtId="1" xfId="0" applyAlignment="1" applyBorder="1" applyFont="1" applyNumberFormat="1">
      <alignment horizontal="center" shrinkToFit="0" vertical="center" wrapText="1"/>
    </xf>
    <xf borderId="18" fillId="4" fontId="5" numFmtId="4" xfId="0" applyAlignment="1" applyBorder="1" applyFill="1" applyFont="1" applyNumberFormat="1">
      <alignment horizontal="center" shrinkToFit="0" wrapText="1"/>
    </xf>
    <xf borderId="18" fillId="4" fontId="9" numFmtId="4" xfId="0" applyAlignment="1" applyBorder="1" applyFill="1" applyFont="1" applyNumberFormat="1">
      <alignment horizontal="center" shrinkToFit="0" wrapText="1"/>
    </xf>
    <xf borderId="11" fillId="0" fontId="10" numFmtId="0" xfId="0" applyAlignment="1" applyBorder="1" applyFont="1">
      <alignment horizontal="center" vertical="center"/>
    </xf>
    <xf borderId="18" fillId="4" fontId="9" numFmtId="0" xfId="0" applyAlignment="1" applyBorder="1" applyFill="1" applyFont="1">
      <alignment horizontal="center" shrinkToFit="0" wrapText="1"/>
    </xf>
    <xf borderId="18" fillId="4" fontId="11" numFmtId="4" xfId="0" applyAlignment="1" applyBorder="1" applyFill="1" applyFont="1" applyNumberFormat="1">
      <alignment horizontal="center" shrinkToFit="0" wrapText="1"/>
    </xf>
    <xf borderId="18" fillId="4" fontId="11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19" fillId="3" fontId="4" numFmtId="0" xfId="0" applyBorder="1" applyFill="1" applyFont="1"/>
    <xf borderId="16" fillId="3" fontId="1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shrinkToFit="0" vertical="center" wrapText="1"/>
    </xf>
    <xf borderId="11" fillId="0" fontId="10" numFmtId="3" xfId="0" applyAlignment="1" applyBorder="1" applyFont="1" applyNumberFormat="1">
      <alignment horizontal="center" shrinkToFit="0" vertical="center" wrapText="1"/>
    </xf>
    <xf borderId="20" fillId="5" fontId="11" numFmtId="0" xfId="0" applyAlignment="1" applyBorder="1" applyFill="1" applyFont="1">
      <alignment horizontal="center" shrinkToFit="0" wrapText="1"/>
    </xf>
    <xf borderId="21" fillId="0" fontId="8" numFmtId="0" xfId="0" applyBorder="1" applyFont="1"/>
    <xf borderId="22" fillId="0" fontId="8" numFmtId="0" xfId="0" applyBorder="1" applyFont="1"/>
    <xf borderId="1" fillId="3" fontId="4" numFmtId="0" xfId="0" applyAlignment="1" applyBorder="1" applyFill="1" applyFont="1">
      <alignment horizontal="center" vertical="center"/>
    </xf>
    <xf borderId="16" fillId="3" fontId="4" numFmtId="0" xfId="0" applyBorder="1" applyFill="1" applyFont="1"/>
    <xf borderId="23" fillId="3" fontId="4" numFmtId="0" xfId="0" applyAlignment="1" applyBorder="1" applyFill="1" applyFont="1">
      <alignment horizontal="center" vertical="center"/>
    </xf>
    <xf borderId="24" fillId="0" fontId="8" numFmtId="0" xfId="0" applyBorder="1" applyFont="1"/>
    <xf borderId="12" fillId="3" fontId="9" numFmtId="0" xfId="0" applyAlignment="1" applyBorder="1" applyFill="1" applyFont="1">
      <alignment shrinkToFit="0" wrapText="1"/>
    </xf>
    <xf borderId="12" fillId="3" fontId="9" numFmtId="0" xfId="0" applyAlignment="1" applyBorder="1" applyFill="1" applyFont="1">
      <alignment horizontal="center" shrinkToFit="0" wrapText="1"/>
    </xf>
    <xf borderId="12" fillId="3" fontId="9" numFmtId="4" xfId="0" applyAlignment="1" applyBorder="1" applyFill="1" applyFont="1" applyNumberFormat="1">
      <alignment shrinkToFit="0" wrapText="1"/>
    </xf>
    <xf borderId="1" fillId="3" fontId="12" numFmtId="0" xfId="0" applyAlignment="1" applyBorder="1" applyFill="1" applyFont="1">
      <alignment vertical="center"/>
    </xf>
    <xf borderId="12" fillId="3" fontId="9" numFmtId="164" xfId="0" applyAlignment="1" applyBorder="1" applyFill="1" applyFont="1" applyNumberFormat="1">
      <alignment shrinkToFit="0" wrapText="1"/>
    </xf>
    <xf borderId="2" fillId="4" fontId="1" numFmtId="1" xfId="0" applyAlignment="1" applyBorder="1" applyFill="1" applyFont="1" applyNumberFormat="1">
      <alignment horizontal="center" vertical="center"/>
    </xf>
    <xf borderId="25" fillId="4" fontId="1" numFmtId="0" xfId="0" applyAlignment="1" applyBorder="1" applyFill="1" applyFont="1">
      <alignment horizontal="center" vertical="center"/>
    </xf>
    <xf borderId="11" fillId="4" fontId="1" numFmtId="0" xfId="0" applyAlignment="1" applyBorder="1" applyFill="1" applyFont="1">
      <alignment horizontal="center" vertical="center"/>
    </xf>
    <xf borderId="12" fillId="3" fontId="9" numFmtId="165" xfId="0" applyAlignment="1" applyBorder="1" applyFill="1" applyFont="1" applyNumberFormat="1">
      <alignment shrinkToFit="0" wrapText="1"/>
    </xf>
    <xf borderId="26" fillId="4" fontId="1" numFmtId="1" xfId="0" applyAlignment="1" applyBorder="1" applyFill="1" applyFont="1" applyNumberFormat="1">
      <alignment horizontal="center" vertical="center"/>
    </xf>
    <xf borderId="11" fillId="3" fontId="13" numFmtId="4" xfId="0" applyAlignment="1" applyBorder="1" applyFill="1" applyFont="1" applyNumberFormat="1">
      <alignment shrinkToFit="0" wrapText="1"/>
    </xf>
    <xf borderId="27" fillId="4" fontId="1" numFmtId="1" xfId="0" applyAlignment="1" applyBorder="1" applyFill="1" applyFont="1" applyNumberFormat="1">
      <alignment horizontal="center" vertical="center"/>
    </xf>
    <xf borderId="11" fillId="3" fontId="14" numFmtId="0" xfId="0" applyAlignment="1" applyBorder="1" applyFill="1" applyFont="1">
      <alignment horizontal="center" vertical="center"/>
    </xf>
    <xf borderId="27" fillId="4" fontId="1" numFmtId="1" xfId="0" applyAlignment="1" applyBorder="1" applyFill="1" applyFont="1" applyNumberFormat="1">
      <alignment horizontal="center" shrinkToFit="0" vertical="center" wrapText="1"/>
    </xf>
    <xf borderId="11" fillId="3" fontId="13" numFmtId="166" xfId="0" applyAlignment="1" applyBorder="1" applyFill="1" applyFont="1" applyNumberFormat="1">
      <alignment shrinkToFit="0" wrapText="1"/>
    </xf>
    <xf borderId="11" fillId="4" fontId="1" numFmtId="1" xfId="0" applyAlignment="1" applyBorder="1" applyFill="1" applyFont="1" applyNumberFormat="1">
      <alignment horizontal="center" vertical="center"/>
    </xf>
    <xf borderId="11" fillId="0" fontId="5" numFmtId="0" xfId="0" applyAlignment="1" applyBorder="1" applyFont="1">
      <alignment shrinkToFit="0" vertical="center" wrapText="1"/>
    </xf>
    <xf borderId="11" fillId="3" fontId="13" numFmtId="167" xfId="0" applyAlignment="1" applyBorder="1" applyFill="1" applyFont="1" applyNumberFormat="1">
      <alignment shrinkToFit="0" wrapText="1"/>
    </xf>
    <xf borderId="11" fillId="0" fontId="5" numFmtId="4" xfId="0" applyAlignment="1" applyBorder="1" applyFont="1" applyNumberFormat="1">
      <alignment horizontal="center" vertical="center"/>
    </xf>
    <xf borderId="11" fillId="3" fontId="9" numFmtId="0" xfId="0" applyAlignment="1" applyBorder="1" applyFill="1" applyFont="1">
      <alignment shrinkToFit="0" wrapText="1"/>
    </xf>
    <xf borderId="28" fillId="4" fontId="4" numFmtId="1" xfId="0" applyAlignment="1" applyBorder="1" applyFill="1" applyFont="1" applyNumberFormat="1">
      <alignment horizontal="center" vertical="center"/>
    </xf>
    <xf borderId="11" fillId="3" fontId="9" numFmtId="0" xfId="0" applyAlignment="1" applyBorder="1" applyFill="1" applyFont="1">
      <alignment horizontal="center" shrinkToFit="0" wrapText="1"/>
    </xf>
    <xf borderId="11" fillId="3" fontId="9" numFmtId="4" xfId="0" applyAlignment="1" applyBorder="1" applyFill="1" applyFont="1" applyNumberFormat="1">
      <alignment shrinkToFit="0" wrapText="1"/>
    </xf>
    <xf borderId="29" fillId="4" fontId="4" numFmtId="1" xfId="0" applyAlignment="1" applyBorder="1" applyFill="1" applyFont="1" applyNumberFormat="1">
      <alignment horizontal="center" vertical="center"/>
    </xf>
    <xf borderId="29" fillId="4" fontId="4" numFmtId="1" xfId="0" applyAlignment="1" applyBorder="1" applyFill="1" applyFont="1" applyNumberFormat="1">
      <alignment horizontal="center" shrinkToFit="0" vertical="center" wrapText="1"/>
    </xf>
    <xf borderId="11" fillId="3" fontId="9" numFmtId="164" xfId="0" applyAlignment="1" applyBorder="1" applyFill="1" applyFont="1" applyNumberFormat="1">
      <alignment shrinkToFit="0" wrapText="1"/>
    </xf>
    <xf borderId="11" fillId="3" fontId="9" numFmtId="165" xfId="0" applyAlignment="1" applyBorder="1" applyFill="1" applyFont="1" applyNumberFormat="1">
      <alignment shrinkToFit="0" wrapText="1"/>
    </xf>
    <xf borderId="11" fillId="0" fontId="5" numFmtId="0" xfId="0" applyAlignment="1" applyBorder="1" applyFont="1">
      <alignment horizontal="center" shrinkToFit="0" vertical="center" wrapText="1"/>
    </xf>
    <xf borderId="30" fillId="4" fontId="4" numFmtId="1" xfId="0" applyAlignment="1" applyBorder="1" applyFill="1" applyFont="1" applyNumberFormat="1">
      <alignment horizontal="center" shrinkToFit="0" vertical="center" wrapText="1"/>
    </xf>
    <xf borderId="31" fillId="0" fontId="8" numFmtId="0" xfId="0" applyBorder="1" applyFont="1"/>
    <xf borderId="32" fillId="0" fontId="8" numFmtId="0" xfId="0" applyBorder="1" applyFont="1"/>
    <xf borderId="1" fillId="3" fontId="5" numFmtId="0" xfId="0" applyBorder="1" applyFill="1" applyFont="1"/>
    <xf borderId="25" fillId="4" fontId="1" numFmtId="1" xfId="0" applyAlignment="1" applyBorder="1" applyFill="1" applyFont="1" applyNumberFormat="1">
      <alignment horizontal="center" vertical="center"/>
    </xf>
    <xf borderId="11" fillId="4" fontId="4" numFmtId="1" xfId="0" applyAlignment="1" applyBorder="1" applyFill="1" applyFont="1" applyNumberFormat="1">
      <alignment horizontal="center" shrinkToFit="0" vertical="center" wrapText="1"/>
    </xf>
    <xf borderId="1" fillId="3" fontId="15" numFmtId="0" xfId="0" applyBorder="1" applyFill="1" applyFont="1"/>
    <xf borderId="11" fillId="3" fontId="13" numFmtId="0" xfId="0" applyAlignment="1" applyBorder="1" applyFill="1" applyFont="1">
      <alignment shrinkToFit="0" wrapText="1"/>
    </xf>
    <xf borderId="33" fillId="0" fontId="8" numFmtId="0" xfId="0" applyBorder="1" applyFont="1"/>
    <xf borderId="11" fillId="3" fontId="13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center"/>
    </xf>
    <xf borderId="34" fillId="4" fontId="1" numFmtId="4" xfId="0" applyAlignment="1" applyBorder="1" applyFill="1" applyFont="1" applyNumberFormat="1">
      <alignment vertical="center"/>
    </xf>
    <xf borderId="35" fillId="3" fontId="4" numFmtId="0" xfId="0" applyBorder="1" applyFill="1" applyFont="1"/>
    <xf borderId="12" fillId="4" fontId="1" numFmtId="4" xfId="0" applyAlignment="1" applyBorder="1" applyFill="1" applyFont="1" applyNumberFormat="1">
      <alignment vertical="center"/>
    </xf>
    <xf borderId="11" fillId="3" fontId="13" numFmtId="164" xfId="0" applyAlignment="1" applyBorder="1" applyFill="1" applyFont="1" applyNumberFormat="1">
      <alignment shrinkToFit="0" wrapText="1"/>
    </xf>
    <xf borderId="11" fillId="3" fontId="13" numFmtId="165" xfId="0" applyAlignment="1" applyBorder="1" applyFill="1" applyFont="1" applyNumberFormat="1">
      <alignment shrinkToFit="0" wrapText="1"/>
    </xf>
    <xf borderId="11" fillId="4" fontId="1" numFmtId="4" xfId="0" applyAlignment="1" applyBorder="1" applyFill="1" applyFont="1" applyNumberFormat="1">
      <alignment vertical="center"/>
    </xf>
    <xf borderId="1" fillId="3" fontId="4" numFmtId="168" xfId="0" applyAlignment="1" applyBorder="1" applyFill="1" applyFont="1" applyNumberForma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4" fillId="6" fontId="1" numFmtId="0" xfId="0" applyAlignment="1" applyBorder="1" applyFill="1" applyFont="1">
      <alignment horizontal="left" shrinkToFit="0" vertical="center" wrapText="1"/>
    </xf>
    <xf borderId="11" fillId="6" fontId="1" numFmtId="4" xfId="0" applyAlignment="1" applyBorder="1" applyFill="1" applyFont="1" applyNumberFormat="1">
      <alignment horizontal="right" vertical="center"/>
    </xf>
    <xf borderId="25" fillId="6" fontId="1" numFmtId="4" xfId="0" applyAlignment="1" applyBorder="1" applyFill="1" applyFont="1" applyNumberFormat="1">
      <alignment horizontal="right" vertical="center"/>
    </xf>
    <xf borderId="1" fillId="3" fontId="4" numFmtId="10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left" shrinkToFit="0" wrapText="1"/>
    </xf>
    <xf borderId="11" fillId="3" fontId="4" numFmtId="4" xfId="0" applyAlignment="1" applyBorder="1" applyFill="1" applyFont="1" applyNumberFormat="1">
      <alignment vertical="center"/>
    </xf>
    <xf borderId="1" fillId="3" fontId="4" numFmtId="4" xfId="0" applyAlignment="1" applyBorder="1" applyFill="1" applyFont="1" applyNumberFormat="1">
      <alignment vertical="center"/>
    </xf>
    <xf borderId="25" fillId="3" fontId="4" numFmtId="4" xfId="0" applyAlignment="1" applyBorder="1" applyFill="1" applyFont="1" applyNumberFormat="1">
      <alignment vertical="center"/>
    </xf>
    <xf borderId="11" fillId="3" fontId="13" numFmtId="169" xfId="0" applyAlignment="1" applyBorder="1" applyFill="1" applyFont="1" applyNumberFormat="1">
      <alignment shrinkToFit="0" wrapText="1"/>
    </xf>
    <xf borderId="25" fillId="3" fontId="4" numFmtId="4" xfId="0" applyAlignment="1" applyBorder="1" applyFill="1" applyFont="1" applyNumberFormat="1">
      <alignment horizontal="right" vertical="center"/>
    </xf>
    <xf borderId="11" fillId="3" fontId="4" numFmtId="4" xfId="0" applyAlignment="1" applyBorder="1" applyFill="1" applyFont="1" applyNumberFormat="1">
      <alignment horizontal="right" vertical="center"/>
    </xf>
    <xf borderId="1" fillId="3" fontId="4" numFmtId="170" xfId="0" applyAlignment="1" applyBorder="1" applyFill="1" applyFont="1" applyNumberFormat="1">
      <alignment vertical="center"/>
    </xf>
    <xf borderId="18" fillId="3" fontId="9" numFmtId="0" xfId="0" applyBorder="1" applyFill="1" applyFont="1"/>
    <xf borderId="18" fillId="3" fontId="9" numFmtId="0" xfId="0" applyAlignment="1" applyBorder="1" applyFill="1" applyFont="1">
      <alignment horizontal="center"/>
    </xf>
    <xf borderId="18" fillId="3" fontId="9" numFmtId="4" xfId="0" applyBorder="1" applyFill="1" applyFont="1" applyNumberFormat="1"/>
    <xf borderId="18" fillId="3" fontId="9" numFmtId="4" xfId="0" applyAlignment="1" applyBorder="1" applyFill="1" applyFont="1" applyNumberFormat="1">
      <alignment shrinkToFit="0" wrapText="1"/>
    </xf>
    <xf borderId="18" fillId="3" fontId="9" numFmtId="171" xfId="0" applyAlignment="1" applyBorder="1" applyFill="1" applyFont="1" applyNumberFormat="1">
      <alignment shrinkToFit="0" wrapText="1"/>
    </xf>
    <xf borderId="18" fillId="3" fontId="9" numFmtId="165" xfId="0" applyAlignment="1" applyBorder="1" applyFill="1" applyFont="1" applyNumberFormat="1">
      <alignment shrinkToFit="0" wrapText="1"/>
    </xf>
    <xf borderId="18" fillId="3" fontId="9" numFmtId="0" xfId="0" applyAlignment="1" applyBorder="1" applyFill="1" applyFont="1">
      <alignment shrinkToFit="0" wrapText="1"/>
    </xf>
    <xf borderId="1" fillId="3" fontId="16" numFmtId="0" xfId="0" applyAlignment="1" applyBorder="1" applyFill="1" applyFont="1">
      <alignment horizontal="left" shrinkToFit="0" wrapText="1"/>
    </xf>
    <xf borderId="1" fillId="3" fontId="16" numFmtId="10" xfId="0" applyAlignment="1" applyBorder="1" applyFill="1" applyFont="1" applyNumberFormat="1">
      <alignment horizontal="right" vertical="center"/>
    </xf>
    <xf borderId="12" fillId="3" fontId="13" numFmtId="4" xfId="0" applyAlignment="1" applyBorder="1" applyFill="1" applyFont="1" applyNumberFormat="1">
      <alignment shrinkToFit="0" wrapText="1"/>
    </xf>
    <xf borderId="20" fillId="5" fontId="11" numFmtId="0" xfId="0" applyAlignment="1" applyBorder="1" applyFill="1" applyFont="1">
      <alignment horizontal="left" shrinkToFit="0" wrapText="1"/>
    </xf>
    <xf borderId="11" fillId="5" fontId="11" numFmtId="0" xfId="0" applyAlignment="1" applyBorder="1" applyFill="1" applyFont="1">
      <alignment shrinkToFit="0" wrapText="1"/>
    </xf>
    <xf borderId="11" fillId="5" fontId="11" numFmtId="0" xfId="0" applyAlignment="1" applyBorder="1" applyFill="1" applyFont="1">
      <alignment horizontal="center" shrinkToFit="0" wrapText="1"/>
    </xf>
    <xf borderId="11" fillId="5" fontId="11" numFmtId="4" xfId="0" applyAlignment="1" applyBorder="1" applyFill="1" applyFont="1" applyNumberFormat="1">
      <alignment shrinkToFit="0" wrapText="1"/>
    </xf>
    <xf borderId="11" fillId="3" fontId="11" numFmtId="0" xfId="0" applyAlignment="1" applyBorder="1" applyFill="1" applyFont="1">
      <alignment shrinkToFit="0" wrapText="1"/>
    </xf>
    <xf borderId="11" fillId="3" fontId="11" numFmtId="0" xfId="0" applyAlignment="1" applyBorder="1" applyFill="1" applyFont="1">
      <alignment horizontal="center" shrinkToFit="0" wrapText="1"/>
    </xf>
    <xf borderId="11" fillId="3" fontId="11" numFmtId="4" xfId="0" applyAlignment="1" applyBorder="1" applyFill="1" applyFont="1" applyNumberFormat="1">
      <alignment shrinkToFit="0" wrapText="1"/>
    </xf>
    <xf borderId="11" fillId="2" fontId="2" numFmtId="0" xfId="0" applyAlignment="1" applyBorder="1" applyFill="1" applyFont="1">
      <alignment horizontal="right" shrinkToFit="0" vertical="center" wrapText="1"/>
    </xf>
    <xf borderId="11" fillId="2" fontId="2" numFmtId="0" xfId="0" applyAlignment="1" applyBorder="1" applyFill="1" applyFont="1">
      <alignment horizontal="center" shrinkToFit="0" vertical="center" wrapText="1"/>
    </xf>
    <xf borderId="11" fillId="2" fontId="2" numFmtId="4" xfId="0" applyAlignment="1" applyBorder="1" applyFill="1" applyFont="1" applyNumberFormat="1">
      <alignment horizontal="right" shrinkToFit="0" vertical="center" wrapText="1"/>
    </xf>
    <xf borderId="7" fillId="2" fontId="2" numFmtId="4" xfId="0" applyAlignment="1" applyBorder="1" applyFill="1" applyFont="1" applyNumberFormat="1">
      <alignment horizontal="right" shrinkToFit="0" vertical="center" wrapText="1"/>
    </xf>
    <xf borderId="1" fillId="3" fontId="1" numFmtId="0" xfId="0" applyBorder="1" applyFill="1" applyFont="1"/>
    <xf borderId="3" fillId="5" fontId="11" numFmtId="0" xfId="0" applyAlignment="1" applyBorder="1" applyFill="1" applyFont="1">
      <alignment shrinkToFit="0" wrapText="1"/>
    </xf>
    <xf borderId="3" fillId="5" fontId="11" numFmtId="0" xfId="0" applyAlignment="1" applyBorder="1" applyFill="1" applyFont="1">
      <alignment horizontal="center" shrinkToFit="0" wrapText="1"/>
    </xf>
    <xf borderId="3" fillId="5" fontId="9" numFmtId="0" xfId="0" applyAlignment="1" applyBorder="1" applyFill="1" applyFont="1">
      <alignment shrinkToFit="0" wrapText="1"/>
    </xf>
    <xf borderId="7" fillId="5" fontId="9" numFmtId="4" xfId="0" applyAlignment="1" applyBorder="1" applyFill="1" applyFont="1" applyNumberFormat="1">
      <alignment shrinkToFit="0" wrapText="1"/>
    </xf>
    <xf borderId="4" fillId="2" fontId="2" numFmtId="4" xfId="0" applyAlignment="1" applyBorder="1" applyFill="1" applyFont="1" applyNumberFormat="1">
      <alignment horizontal="right" shrinkToFit="0" vertical="center" wrapText="1"/>
    </xf>
    <xf borderId="11" fillId="3" fontId="9" numFmtId="0" xfId="0" applyAlignment="1" applyBorder="1" applyFill="1" applyFont="1">
      <alignment shrinkToFit="0" vertical="center" wrapText="1"/>
    </xf>
    <xf borderId="1" fillId="3" fontId="3" numFmtId="172" xfId="0" applyAlignment="1" applyBorder="1" applyFill="1" applyFont="1" applyNumberFormat="1">
      <alignment vertical="center"/>
    </xf>
    <xf borderId="3" fillId="2" fontId="2" numFmtId="172" xfId="0" applyAlignment="1" applyBorder="1" applyFill="1" applyFont="1" applyNumberFormat="1">
      <alignment horizontal="right" shrinkToFit="0" vertical="center" wrapText="1"/>
    </xf>
    <xf borderId="11" fillId="2" fontId="2" numFmtId="172" xfId="0" applyAlignment="1" applyBorder="1" applyFill="1" applyFont="1" applyNumberFormat="1">
      <alignment horizontal="right" shrinkToFit="0" vertical="center" wrapText="1"/>
    </xf>
    <xf borderId="1" fillId="3" fontId="17" numFmtId="0" xfId="0" applyBorder="1" applyFill="1" applyFont="1"/>
    <xf borderId="1" fillId="3" fontId="17" numFmtId="0" xfId="0" applyAlignment="1" applyBorder="1" applyFill="1" applyFont="1">
      <alignment horizontal="center"/>
    </xf>
    <xf borderId="1" fillId="3" fontId="17" numFmtId="4" xfId="0" applyBorder="1" applyFill="1" applyFont="1" applyNumberFormat="1"/>
    <xf quotePrefix="1" borderId="1" fillId="3" fontId="18" numFmtId="4" xfId="0" applyBorder="1" applyFill="1" applyFont="1" applyNumberFormat="1"/>
    <xf quotePrefix="1" borderId="1" fillId="3" fontId="18" numFmtId="0" xfId="0" applyBorder="1" applyFill="1" applyFont="1"/>
    <xf borderId="1" fillId="3" fontId="18" numFmtId="0" xfId="0" applyBorder="1" applyFill="1" applyFont="1"/>
    <xf quotePrefix="1" borderId="1" fillId="3" fontId="17" numFmtId="4" xfId="0" applyBorder="1" applyFill="1" applyFont="1" applyNumberFormat="1"/>
    <xf borderId="1" fillId="3" fontId="11" numFmtId="0" xfId="0" applyAlignment="1" applyBorder="1" applyFill="1" applyFont="1">
      <alignment horizontal="center" vertical="center"/>
    </xf>
    <xf borderId="36" fillId="4" fontId="1" numFmtId="0" xfId="0" applyAlignment="1" applyBorder="1" applyFill="1" applyFont="1">
      <alignment horizontal="center" vertical="center"/>
    </xf>
    <xf borderId="37" fillId="4" fontId="1" numFmtId="0" xfId="0" applyAlignment="1" applyBorder="1" applyFill="1" applyFon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38" fillId="4" fontId="1" numFmtId="0" xfId="0" applyAlignment="1" applyBorder="1" applyFill="1" applyFont="1">
      <alignment horizontal="center" vertical="center"/>
    </xf>
    <xf borderId="18" fillId="4" fontId="1" numFmtId="0" xfId="0" applyAlignment="1" applyBorder="1" applyFill="1" applyFont="1">
      <alignment horizontal="center" vertical="center"/>
    </xf>
    <xf borderId="1" fillId="3" fontId="19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vertical="center"/>
    </xf>
    <xf borderId="2" fillId="4" fontId="1" numFmtId="0" xfId="0" applyAlignment="1" applyBorder="1" applyFill="1" applyFont="1">
      <alignment horizontal="center" shrinkToFit="0" vertical="center" wrapText="1"/>
    </xf>
    <xf borderId="39" fillId="4" fontId="4" numFmtId="0" xfId="0" applyAlignment="1" applyBorder="1" applyFill="1" applyFont="1">
      <alignment horizontal="center" shrinkToFit="0" vertical="center" wrapText="1"/>
    </xf>
    <xf borderId="40" fillId="4" fontId="4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horizontal="center" shrinkToFit="0" vertical="center" wrapText="1"/>
    </xf>
    <xf borderId="41" fillId="4" fontId="4" numFmtId="0" xfId="0" applyAlignment="1" applyBorder="1" applyFill="1" applyFont="1">
      <alignment horizontal="center" shrinkToFit="0" vertical="center" wrapText="1"/>
    </xf>
    <xf borderId="18" fillId="4" fontId="4" numFmtId="0" xfId="0" applyAlignment="1" applyBorder="1" applyFill="1" applyFont="1">
      <alignment horizontal="center" shrinkToFit="0" vertical="center" wrapText="1"/>
    </xf>
    <xf borderId="1" fillId="3" fontId="20" numFmtId="0" xfId="0" applyBorder="1" applyFill="1" applyFont="1"/>
    <xf borderId="11" fillId="4" fontId="4" numFmtId="0" xfId="0" applyAlignment="1" applyBorder="1" applyFill="1" applyFont="1">
      <alignment horizontal="center" vertical="center"/>
    </xf>
    <xf borderId="11" fillId="4" fontId="4" numFmtId="0" xfId="0" applyAlignment="1" applyBorder="1" applyFill="1" applyFont="1">
      <alignment horizontal="center" shrinkToFit="0" vertical="center" wrapText="1"/>
    </xf>
    <xf borderId="1" fillId="3" fontId="9" numFmtId="0" xfId="0" applyBorder="1" applyFill="1" applyFont="1"/>
    <xf borderId="11" fillId="4" fontId="4" numFmtId="0" xfId="0" applyAlignment="1" applyBorder="1" applyFill="1" applyFont="1">
      <alignment horizontal="center"/>
    </xf>
    <xf borderId="11" fillId="3" fontId="21" numFmtId="0" xfId="0" applyAlignment="1" applyBorder="1" applyFill="1" applyFont="1">
      <alignment shrinkToFit="0" vertical="center" wrapText="1"/>
    </xf>
    <xf borderId="11" fillId="3" fontId="21" numFmtId="0" xfId="0" applyAlignment="1" applyBorder="1" applyFill="1" applyFont="1">
      <alignment horizontal="center" shrinkToFit="0" vertical="center" wrapText="1"/>
    </xf>
    <xf borderId="11" fillId="3" fontId="4" numFmtId="173" xfId="0" applyAlignment="1" applyBorder="1" applyFill="1" applyFont="1" applyNumberFormat="1">
      <alignment horizontal="right" vertical="center"/>
    </xf>
    <xf borderId="18" fillId="3" fontId="4" numFmtId="173" xfId="0" applyAlignment="1" applyBorder="1" applyFill="1" applyFont="1" applyNumberFormat="1">
      <alignment horizontal="right" vertical="center"/>
    </xf>
    <xf borderId="18" fillId="3" fontId="4" numFmtId="4" xfId="0" applyAlignment="1" applyBorder="1" applyFill="1" applyFont="1" applyNumberFormat="1">
      <alignment horizontal="right" vertical="center"/>
    </xf>
    <xf borderId="11" fillId="3" fontId="4" numFmtId="174" xfId="0" applyAlignment="1" applyBorder="1" applyFill="1" applyFont="1" applyNumberFormat="1">
      <alignment horizontal="right" vertical="center"/>
    </xf>
    <xf borderId="42" fillId="3" fontId="4" numFmtId="0" xfId="0" applyBorder="1" applyFill="1" applyFont="1"/>
    <xf borderId="3" fillId="4" fontId="1" numFmtId="175" xfId="0" applyAlignment="1" applyBorder="1" applyFill="1" applyFont="1" applyNumberFormat="1">
      <alignment horizontal="right" vertical="center"/>
    </xf>
    <xf borderId="7" fillId="4" fontId="1" numFmtId="4" xfId="0" applyAlignment="1" applyBorder="1" applyFill="1" applyFont="1" applyNumberFormat="1">
      <alignment horizontal="right" vertical="center"/>
    </xf>
    <xf borderId="1" fillId="3" fontId="1" numFmtId="0" xfId="0" applyAlignment="1" applyBorder="1" applyFill="1" applyFont="1">
      <alignment horizontal="center" vertical="center"/>
    </xf>
    <xf borderId="43" fillId="4" fontId="1" numFmtId="173" xfId="0" applyAlignment="1" applyBorder="1" applyFill="1" applyFont="1" applyNumberFormat="1">
      <alignment horizontal="center" shrinkToFit="0" vertical="center" wrapText="1"/>
    </xf>
    <xf borderId="44" fillId="0" fontId="8" numFmtId="0" xfId="0" applyBorder="1" applyFont="1"/>
    <xf borderId="45" fillId="0" fontId="8" numFmtId="0" xfId="0" applyBorder="1" applyFont="1"/>
    <xf borderId="18" fillId="4" fontId="1" numFmtId="0" xfId="0" applyAlignment="1" applyBorder="1" applyFill="1" applyFont="1">
      <alignment horizontal="center" shrinkToFit="0" vertical="center" wrapText="1"/>
    </xf>
    <xf borderId="11" fillId="4" fontId="1" numFmtId="0" xfId="0" applyAlignment="1" applyBorder="1" applyFill="1" applyFont="1">
      <alignment horizontal="center" shrinkToFit="0" vertical="center" wrapText="1"/>
    </xf>
    <xf borderId="2" fillId="4" fontId="4" numFmtId="173" xfId="0" applyAlignment="1" applyBorder="1" applyFill="1" applyFont="1" applyNumberFormat="1">
      <alignment horizontal="center" shrinkToFit="0" vertical="center" wrapText="1"/>
    </xf>
    <xf borderId="46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top" wrapText="1"/>
    </xf>
    <xf borderId="47" fillId="0" fontId="8" numFmtId="0" xfId="0" applyBorder="1" applyFont="1"/>
    <xf borderId="11" fillId="4" fontId="4" numFmtId="173" xfId="0" applyAlignment="1" applyBorder="1" applyFill="1" applyFont="1" applyNumberFormat="1">
      <alignment shrinkToFit="0" vertical="center" wrapText="1"/>
    </xf>
    <xf borderId="4" fillId="4" fontId="4" numFmtId="173" xfId="0" applyAlignment="1" applyBorder="1" applyFill="1" applyFont="1" applyNumberFormat="1">
      <alignment shrinkToFit="0" vertical="center" wrapText="1"/>
    </xf>
    <xf borderId="25" fillId="4" fontId="4" numFmtId="0" xfId="0" applyAlignment="1" applyBorder="1" applyFill="1" applyFont="1">
      <alignment horizontal="center" shrinkToFit="0" vertical="center" wrapText="1"/>
    </xf>
    <xf borderId="12" fillId="4" fontId="4" numFmtId="173" xfId="0" applyAlignment="1" applyBorder="1" applyFill="1" applyFont="1" applyNumberFormat="1">
      <alignment shrinkToFit="0" vertical="center" wrapText="1"/>
    </xf>
    <xf borderId="11" fillId="4" fontId="4" numFmtId="173" xfId="0" applyAlignment="1" applyBorder="1" applyFill="1" applyFont="1" applyNumberForma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11" fillId="3" fontId="4" numFmtId="173" xfId="0" applyAlignment="1" applyBorder="1" applyFill="1" applyFont="1" applyNumberFormat="1">
      <alignment horizontal="left" shrinkToFit="0" vertical="center" wrapText="1"/>
    </xf>
    <xf borderId="11" fillId="3" fontId="4" numFmtId="173" xfId="0" applyAlignment="1" applyBorder="1" applyFill="1" applyFont="1" applyNumberFormat="1">
      <alignment horizontal="center" shrinkToFit="0" vertical="center" wrapText="1"/>
    </xf>
    <xf borderId="11" fillId="3" fontId="4" numFmtId="3" xfId="0" applyAlignment="1" applyBorder="1" applyFill="1" applyFont="1" applyNumberFormat="1">
      <alignment horizontal="right" shrinkToFit="0" vertical="center" wrapText="1"/>
    </xf>
    <xf borderId="11" fillId="3" fontId="4" numFmtId="4" xfId="0" applyAlignment="1" applyBorder="1" applyFill="1" applyFont="1" applyNumberFormat="1">
      <alignment shrinkToFit="0" vertical="center" wrapText="1"/>
    </xf>
    <xf borderId="11" fillId="3" fontId="4" numFmtId="0" xfId="0" applyAlignment="1" applyBorder="1" applyFill="1" applyFont="1">
      <alignment shrinkToFit="0" vertical="center" wrapText="1"/>
    </xf>
    <xf borderId="11" fillId="3" fontId="4" numFmtId="176" xfId="0" applyAlignment="1" applyBorder="1" applyFill="1" applyFont="1" applyNumberFormat="1">
      <alignment shrinkToFit="0" vertical="center" wrapText="1"/>
    </xf>
    <xf borderId="11" fillId="3" fontId="16" numFmtId="173" xfId="0" applyAlignment="1" applyBorder="1" applyFill="1" applyFont="1" applyNumberFormat="1">
      <alignment horizontal="left" shrinkToFit="0" vertical="center" wrapText="1"/>
    </xf>
    <xf borderId="11" fillId="3" fontId="16" numFmtId="173" xfId="0" applyAlignment="1" applyBorder="1" applyFill="1" applyFont="1" applyNumberFormat="1">
      <alignment horizontal="center" shrinkToFit="0" vertical="center" wrapText="1"/>
    </xf>
    <xf borderId="11" fillId="3" fontId="16" numFmtId="3" xfId="0" applyAlignment="1" applyBorder="1" applyFill="1" applyFont="1" applyNumberFormat="1">
      <alignment horizontal="right" shrinkToFit="0" vertical="center" wrapText="1"/>
    </xf>
    <xf borderId="11" fillId="3" fontId="16" numFmtId="4" xfId="0" applyAlignment="1" applyBorder="1" applyFill="1" applyFont="1" applyNumberFormat="1">
      <alignment shrinkToFit="0" vertical="center" wrapText="1"/>
    </xf>
    <xf borderId="18" fillId="3" fontId="16" numFmtId="0" xfId="0" applyAlignment="1" applyBorder="1" applyFill="1" applyFont="1">
      <alignment shrinkToFit="0" vertical="center" wrapText="1"/>
    </xf>
    <xf borderId="18" fillId="3" fontId="16" numFmtId="176" xfId="0" applyAlignment="1" applyBorder="1" applyFill="1" applyFont="1" applyNumberFormat="1">
      <alignment shrinkToFit="0" vertical="center" wrapText="1"/>
    </xf>
    <xf borderId="11" fillId="3" fontId="16" numFmtId="173" xfId="0" applyAlignment="1" applyBorder="1" applyFill="1" applyFont="1" applyNumberFormat="1">
      <alignment shrinkToFit="0" vertical="center" wrapText="1"/>
    </xf>
    <xf borderId="11" fillId="3" fontId="16" numFmtId="176" xfId="0" applyAlignment="1" applyBorder="1" applyFill="1" applyFont="1" applyNumberFormat="1">
      <alignment shrinkToFit="0" vertical="center" wrapText="1"/>
    </xf>
    <xf borderId="18" fillId="3" fontId="16" numFmtId="173" xfId="0" applyAlignment="1" applyBorder="1" applyFill="1" applyFont="1" applyNumberFormat="1">
      <alignment horizontal="left" shrinkToFit="0" vertical="center" wrapText="1"/>
    </xf>
    <xf borderId="18" fillId="3" fontId="16" numFmtId="173" xfId="0" applyAlignment="1" applyBorder="1" applyFill="1" applyFont="1" applyNumberFormat="1">
      <alignment horizontal="center" shrinkToFit="0" vertical="center" wrapText="1"/>
    </xf>
    <xf borderId="18" fillId="3" fontId="16" numFmtId="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ill="1" applyFont="1">
      <alignment vertical="center"/>
    </xf>
    <xf borderId="3" fillId="4" fontId="1" numFmtId="0" xfId="0" applyAlignment="1" applyBorder="1" applyFill="1" applyFont="1">
      <alignment horizontal="right" vertical="center"/>
    </xf>
    <xf borderId="11" fillId="4" fontId="1" numFmtId="176" xfId="0" applyAlignment="1" applyBorder="1" applyFill="1" applyFont="1" applyNumberFormat="1">
      <alignment vertical="center"/>
    </xf>
    <xf borderId="3" fillId="4" fontId="1" numFmtId="1" xfId="0" applyAlignment="1" applyBorder="1" applyFill="1" applyFont="1" applyNumberFormat="1">
      <alignment horizontal="center" shrinkToFit="0" vertical="center" wrapText="1"/>
    </xf>
    <xf borderId="25" fillId="4" fontId="1" numFmtId="0" xfId="0" applyAlignment="1" applyBorder="1" applyFill="1" applyFont="1">
      <alignment horizontal="center" shrinkToFit="0" vertical="center" wrapText="1"/>
    </xf>
    <xf borderId="12" fillId="4" fontId="1" numFmtId="173" xfId="0" applyAlignment="1" applyBorder="1" applyFill="1" applyFont="1" applyNumberFormat="1">
      <alignment horizontal="center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shrinkToFit="0" vertical="center" wrapText="1"/>
    </xf>
    <xf borderId="18" fillId="4" fontId="4" numFmtId="0" xfId="0" applyAlignment="1" applyBorder="1" applyFill="1" applyFont="1">
      <alignment horizontal="center" shrinkToFit="0" wrapText="1"/>
    </xf>
    <xf borderId="11" fillId="3" fontId="4" numFmtId="2" xfId="0" applyAlignment="1" applyBorder="1" applyFill="1" applyFont="1" applyNumberFormat="1">
      <alignment shrinkToFit="0" vertical="center" wrapText="1"/>
    </xf>
    <xf borderId="11" fillId="3" fontId="4" numFmtId="177" xfId="0" applyAlignment="1" applyBorder="1" applyFill="1" applyFont="1" applyNumberFormat="1">
      <alignment shrinkToFit="0" vertical="center" wrapText="1"/>
    </xf>
    <xf borderId="11" fillId="3" fontId="15" numFmtId="177" xfId="0" applyAlignment="1" applyBorder="1" applyFill="1" applyFont="1" applyNumberFormat="1">
      <alignment shrinkToFit="0" vertical="center" wrapText="1"/>
    </xf>
    <xf borderId="11" fillId="3" fontId="4" numFmtId="174" xfId="0" applyAlignment="1" applyBorder="1" applyFill="1" applyFont="1" applyNumberFormat="1">
      <alignment shrinkToFit="0" vertical="center" wrapText="1"/>
    </xf>
    <xf borderId="11" fillId="3" fontId="4" numFmtId="173" xfId="0" applyAlignment="1" applyBorder="1" applyFill="1" applyFont="1" applyNumberFormat="1">
      <alignment shrinkToFit="0" vertical="center" wrapText="1"/>
    </xf>
    <xf borderId="18" fillId="3" fontId="4" numFmtId="0" xfId="0" applyAlignment="1" applyBorder="1" applyFill="1" applyFont="1">
      <alignment shrinkToFit="0" vertical="center" wrapText="1"/>
    </xf>
    <xf borderId="18" fillId="3" fontId="4" numFmtId="176" xfId="0" applyAlignment="1" applyBorder="1" applyFill="1" applyFont="1" applyNumberFormat="1">
      <alignment shrinkToFit="0" vertical="center" wrapText="1"/>
    </xf>
    <xf borderId="18" fillId="3" fontId="4" numFmtId="174" xfId="0" applyAlignment="1" applyBorder="1" applyFill="1" applyFont="1" applyNumberFormat="1">
      <alignment shrinkToFit="0" vertical="center" wrapText="1"/>
    </xf>
    <xf borderId="18" fillId="3" fontId="4" numFmtId="173" xfId="0" applyAlignment="1" applyBorder="1" applyFill="1" applyFont="1" applyNumberFormat="1">
      <alignment shrinkToFit="0" vertical="center" wrapText="1"/>
    </xf>
    <xf borderId="4" fillId="3" fontId="4" numFmtId="173" xfId="0" applyAlignment="1" applyBorder="1" applyFill="1" applyFont="1" applyNumberFormat="1">
      <alignment shrinkToFit="0" vertical="center" wrapText="1"/>
    </xf>
    <xf borderId="48" fillId="3" fontId="4" numFmtId="174" xfId="0" applyAlignment="1" applyBorder="1" applyFill="1" applyFont="1" applyNumberFormat="1">
      <alignment shrinkToFit="0" vertical="center" wrapText="1"/>
    </xf>
    <xf borderId="7" fillId="3" fontId="4" numFmtId="173" xfId="0" applyAlignment="1" applyBorder="1" applyFill="1" applyFont="1" applyNumberFormat="1">
      <alignment shrinkToFit="0" vertical="center" wrapText="1"/>
    </xf>
    <xf borderId="25" fillId="3" fontId="4" numFmtId="173" xfId="0" applyAlignment="1" applyBorder="1" applyFill="1" applyFont="1" applyNumberFormat="1">
      <alignment shrinkToFit="0" vertical="center" wrapText="1"/>
    </xf>
    <xf borderId="36" fillId="3" fontId="4" numFmtId="173" xfId="0" applyAlignment="1" applyBorder="1" applyFill="1" applyFont="1" applyNumberFormat="1">
      <alignment shrinkToFit="0" vertical="center" wrapText="1"/>
    </xf>
    <xf borderId="28" fillId="3" fontId="4" numFmtId="174" xfId="0" applyAlignment="1" applyBorder="1" applyFill="1" applyFont="1" applyNumberFormat="1">
      <alignment shrinkToFit="0" vertical="center" wrapText="1"/>
    </xf>
    <xf borderId="29" fillId="3" fontId="4" numFmtId="173" xfId="0" applyAlignment="1" applyBorder="1" applyFill="1" applyFont="1" applyNumberFormat="1">
      <alignment shrinkToFit="0" vertical="center" wrapText="1"/>
    </xf>
    <xf borderId="41" fillId="3" fontId="4" numFmtId="173" xfId="0" applyAlignment="1" applyBorder="1" applyFill="1" applyFont="1" applyNumberFormat="1">
      <alignment shrinkToFit="0" vertical="center" wrapText="1"/>
    </xf>
    <xf borderId="11" fillId="4" fontId="1" numFmtId="173" xfId="0" applyAlignment="1" applyBorder="1" applyFill="1" applyFont="1" applyNumberFormat="1">
      <alignment vertical="center"/>
    </xf>
    <xf borderId="1" fillId="7" fontId="1" numFmtId="0" xfId="0" applyAlignment="1" applyBorder="1" applyFill="1" applyFont="1">
      <alignment horizontal="left" vertical="center"/>
    </xf>
    <xf borderId="1" fillId="7" fontId="2" numFmtId="0" xfId="0" applyAlignment="1" applyBorder="1" applyFill="1" applyFont="1">
      <alignment horizontal="left" vertical="center"/>
    </xf>
    <xf borderId="1" fillId="7" fontId="2" numFmtId="0" xfId="0" applyAlignment="1" applyBorder="1" applyFill="1" applyFont="1">
      <alignment horizontal="center" vertical="center"/>
    </xf>
    <xf borderId="1" fillId="7" fontId="1" numFmtId="4" xfId="0" applyAlignment="1" applyBorder="1" applyFill="1" applyFont="1" applyNumberFormat="1">
      <alignment horizontal="left" vertical="center"/>
    </xf>
    <xf borderId="20" fillId="7" fontId="1" numFmtId="0" xfId="0" applyAlignment="1" applyBorder="1" applyFill="1" applyFont="1">
      <alignment horizontal="center" vertical="center"/>
    </xf>
    <xf borderId="29" fillId="7" fontId="1" numFmtId="0" xfId="0" applyAlignment="1" applyBorder="1" applyFill="1" applyFont="1">
      <alignment horizontal="center" vertical="center"/>
    </xf>
    <xf borderId="28" fillId="7" fontId="1" numFmtId="0" xfId="0" applyAlignment="1" applyBorder="1" applyFill="1" applyFont="1">
      <alignment horizontal="center" vertical="center"/>
    </xf>
    <xf borderId="49" fillId="3" fontId="4" numFmtId="0" xfId="0" applyAlignment="1" applyBorder="1" applyFill="1" applyFont="1">
      <alignment horizontal="center" shrinkToFit="0" vertical="center" wrapText="1"/>
    </xf>
    <xf borderId="37" fillId="7" fontId="4" numFmtId="0" xfId="0" applyAlignment="1" applyBorder="1" applyFill="1" applyFont="1">
      <alignment horizontal="center" shrinkToFit="0" vertical="center" wrapText="1"/>
    </xf>
    <xf borderId="37" fillId="7" fontId="4" numFmtId="0" xfId="0" applyAlignment="1" applyBorder="1" applyFill="1" applyFont="1">
      <alignment horizontal="center" shrinkToFit="0" vertical="top" wrapText="1"/>
    </xf>
    <xf borderId="7" fillId="7" fontId="4" numFmtId="0" xfId="0" applyAlignment="1" applyBorder="1" applyFill="1" applyFont="1">
      <alignment horizontal="center" shrinkToFit="0" vertical="top" wrapText="1"/>
    </xf>
    <xf borderId="48" fillId="7" fontId="4" numFmtId="0" xfId="0" applyAlignment="1" applyBorder="1" applyFill="1" applyFont="1">
      <alignment horizontal="center" shrinkToFit="0" vertical="top" wrapText="1"/>
    </xf>
    <xf borderId="50" fillId="0" fontId="8" numFmtId="0" xfId="0" applyBorder="1" applyFont="1"/>
    <xf borderId="37" fillId="7" fontId="4" numFmtId="0" xfId="0" applyAlignment="1" applyBorder="1" applyFill="1" applyFont="1">
      <alignment horizontal="center" vertical="center"/>
    </xf>
    <xf borderId="7" fillId="7" fontId="4" numFmtId="0" xfId="0" applyAlignment="1" applyBorder="1" applyFill="1" applyFont="1">
      <alignment horizontal="center"/>
    </xf>
    <xf borderId="7" fillId="7" fontId="4" numFmtId="0" xfId="0" applyAlignment="1" applyBorder="1" applyFill="1" applyFont="1">
      <alignment horizontal="center" vertical="center"/>
    </xf>
    <xf borderId="48" fillId="7" fontId="4" numFmtId="0" xfId="0" applyAlignment="1" applyBorder="1" applyFill="1" applyFont="1">
      <alignment horizontal="center" vertical="center"/>
    </xf>
    <xf borderId="27" fillId="7" fontId="4" numFmtId="0" xfId="0" applyAlignment="1" applyBorder="1" applyFill="1" applyFont="1">
      <alignment horizontal="center"/>
    </xf>
    <xf borderId="27" fillId="7" fontId="4" numFmtId="0" xfId="0" applyAlignment="1" applyBorder="1" applyFill="1" applyFont="1">
      <alignment horizontal="center" vertical="center"/>
    </xf>
    <xf borderId="26" fillId="7" fontId="4" numFmtId="0" xfId="0" applyAlignment="1" applyBorder="1" applyFill="1" applyFont="1">
      <alignment horizontal="center" vertical="center"/>
    </xf>
    <xf borderId="51" fillId="3" fontId="5" numFmtId="0" xfId="0" applyAlignment="1" applyBorder="1" applyFill="1" applyFont="1">
      <alignment horizontal="right" shrinkToFit="0" vertical="center" wrapText="1"/>
    </xf>
    <xf borderId="7" fillId="3" fontId="5" numFmtId="3" xfId="0" applyAlignment="1" applyBorder="1" applyFill="1" applyFont="1" applyNumberFormat="1">
      <alignment horizontal="right" shrinkToFit="0" vertical="center" wrapText="1"/>
    </xf>
    <xf borderId="52" fillId="0" fontId="4" numFmtId="0" xfId="0" applyAlignment="1" applyBorder="1" applyFont="1">
      <alignment horizontal="right" vertical="center"/>
    </xf>
    <xf borderId="27" fillId="3" fontId="4" numFmtId="0" xfId="0" applyAlignment="1" applyBorder="1" applyFill="1" applyFont="1">
      <alignment horizontal="right" vertical="center"/>
    </xf>
    <xf borderId="26" fillId="3" fontId="4" numFmtId="4" xfId="0" applyAlignment="1" applyBorder="1" applyFill="1" applyFont="1" applyNumberFormat="1">
      <alignment horizontal="right" vertical="center"/>
    </xf>
    <xf borderId="4" fillId="3" fontId="5" numFmtId="0" xfId="0" applyAlignment="1" applyBorder="1" applyFill="1" applyFont="1">
      <alignment horizontal="right" shrinkToFit="0" vertical="center" wrapText="1"/>
    </xf>
    <xf borderId="53" fillId="0" fontId="8" numFmtId="0" xfId="0" applyBorder="1" applyFont="1"/>
    <xf borderId="51" fillId="7" fontId="2" numFmtId="0" xfId="0" applyAlignment="1" applyBorder="1" applyFill="1" applyFont="1">
      <alignment shrinkToFit="0" vertical="center" wrapText="1"/>
    </xf>
    <xf borderId="54" fillId="7" fontId="2" numFmtId="3" xfId="0" applyAlignment="1" applyBorder="1" applyFill="1" applyFont="1" applyNumberFormat="1">
      <alignment shrinkToFit="0" vertical="center" wrapText="1"/>
    </xf>
    <xf borderId="54" fillId="7" fontId="2" numFmtId="0" xfId="0" applyAlignment="1" applyBorder="1" applyFill="1" applyFont="1">
      <alignment shrinkToFit="0" vertical="center" wrapText="1"/>
    </xf>
    <xf borderId="34" fillId="7" fontId="2" numFmtId="0" xfId="0" applyAlignment="1" applyBorder="1" applyFill="1" applyFont="1">
      <alignment shrinkToFit="0" vertical="center" wrapText="1"/>
    </xf>
    <xf borderId="26" fillId="7" fontId="2" numFmtId="4" xfId="0" applyAlignment="1" applyBorder="1" applyFill="1" applyFont="1" applyNumberFormat="1">
      <alignment horizontal="right" vertical="center"/>
    </xf>
    <xf borderId="1" fillId="3" fontId="4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Emissions
(t CO2e)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Summary_detail!$B$22:$B$27</c:f>
            </c:strRef>
          </c:cat>
          <c:val>
            <c:numRef>
              <c:f>Summary_detail!$C$22:$C$27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16</xdr:row>
      <xdr:rowOff>133350</xdr:rowOff>
    </xdr:from>
    <xdr:ext cx="4943475" cy="3362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180975</xdr:colOff>
      <xdr:row>2</xdr:row>
      <xdr:rowOff>9525</xdr:rowOff>
    </xdr:from>
    <xdr:ext cx="6591300" cy="419100"/>
    <xdr:pic>
      <xdr:nvPicPr>
        <xdr:cNvPr descr="Informatio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180975</xdr:colOff>
      <xdr:row>2</xdr:row>
      <xdr:rowOff>9525</xdr:rowOff>
    </xdr:from>
    <xdr:ext cx="6724650" cy="428625"/>
    <xdr:pic>
      <xdr:nvPicPr>
        <xdr:cNvPr descr="Informatio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180975</xdr:colOff>
      <xdr:row>3</xdr:row>
      <xdr:rowOff>9525</xdr:rowOff>
    </xdr:from>
    <xdr:ext cx="419100" cy="428625"/>
    <xdr:pic>
      <xdr:nvPicPr>
        <xdr:cNvPr descr="Informatio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incay.com/khi-biogas-va-dac-tinh-sinh-hoc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39.25"/>
    <col customWidth="1" min="3" max="3" width="13.75"/>
    <col customWidth="1" min="4" max="4" width="13.63"/>
    <col customWidth="1" min="5" max="5" width="14.0"/>
    <col customWidth="1" min="6" max="6" width="17.38"/>
    <col customWidth="1" min="7" max="7" width="2.5"/>
    <col customWidth="1" min="8" max="8" width="13.75"/>
    <col customWidth="1" min="9" max="9" width="13.63"/>
    <col customWidth="1" min="10" max="10" width="14.0"/>
    <col customWidth="1" min="11" max="11" width="17.38"/>
    <col customWidth="1" min="12" max="12" width="14.13"/>
    <col customWidth="1" min="13" max="13" width="13.88"/>
    <col customWidth="1" min="14" max="26" width="10.38"/>
  </cols>
  <sheetData>
    <row r="1" ht="22.5" customHeight="1">
      <c r="A1" s="2"/>
      <c r="B1" s="2" t="s">
        <v>121</v>
      </c>
      <c r="C1" s="4"/>
      <c r="D1" s="4"/>
      <c r="E1" s="4"/>
      <c r="F1" s="4"/>
      <c r="G1" s="4"/>
      <c r="H1" s="4"/>
      <c r="I1" s="4"/>
      <c r="J1" s="4"/>
      <c r="K1" s="4"/>
      <c r="L1" s="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65"/>
      <c r="M2" s="67" t="s">
        <v>133</v>
      </c>
      <c r="N2" s="6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3"/>
      <c r="B3" s="13"/>
      <c r="C3" s="13"/>
      <c r="D3" s="13"/>
      <c r="E3" s="13"/>
      <c r="F3" s="72" t="s">
        <v>141</v>
      </c>
      <c r="G3" s="13"/>
      <c r="H3" s="13"/>
      <c r="I3" s="13"/>
      <c r="J3" s="13"/>
      <c r="K3" s="72" t="s">
        <v>144</v>
      </c>
      <c r="L3" s="65"/>
      <c r="M3" s="65">
        <v>28.0</v>
      </c>
      <c r="N3" s="65">
        <v>273.0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customHeight="1">
      <c r="A4" s="13"/>
      <c r="B4" s="74" t="s">
        <v>150</v>
      </c>
      <c r="C4" s="75" t="s">
        <v>20</v>
      </c>
      <c r="D4" s="76" t="s">
        <v>21</v>
      </c>
      <c r="E4" s="76" t="s">
        <v>22</v>
      </c>
      <c r="F4" s="76" t="s">
        <v>23</v>
      </c>
      <c r="G4" s="13"/>
      <c r="H4" s="76" t="s">
        <v>20</v>
      </c>
      <c r="I4" s="75" t="s">
        <v>21</v>
      </c>
      <c r="J4" s="76" t="s">
        <v>22</v>
      </c>
      <c r="K4" s="76" t="s">
        <v>23</v>
      </c>
      <c r="L4" s="65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4.75" customHeight="1">
      <c r="A5" s="13"/>
      <c r="B5" s="26"/>
      <c r="C5" s="78" t="s">
        <v>156</v>
      </c>
      <c r="D5" s="80" t="s">
        <v>157</v>
      </c>
      <c r="E5" s="80" t="s">
        <v>158</v>
      </c>
      <c r="F5" s="82" t="s">
        <v>161</v>
      </c>
      <c r="G5" s="13"/>
      <c r="H5" s="84" t="s">
        <v>164</v>
      </c>
      <c r="I5" s="78" t="s">
        <v>169</v>
      </c>
      <c r="J5" s="80" t="s">
        <v>170</v>
      </c>
      <c r="K5" s="82" t="s">
        <v>161</v>
      </c>
      <c r="L5" s="65" t="s">
        <v>172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13"/>
      <c r="B6" s="26"/>
      <c r="C6" s="89" t="s">
        <v>177</v>
      </c>
      <c r="D6" s="92" t="s">
        <v>181</v>
      </c>
      <c r="E6" s="92" t="s">
        <v>183</v>
      </c>
      <c r="F6" s="93" t="s">
        <v>185</v>
      </c>
      <c r="G6" s="13"/>
      <c r="H6" s="97" t="s">
        <v>188</v>
      </c>
      <c r="I6" s="98"/>
      <c r="J6" s="98"/>
      <c r="K6" s="99"/>
      <c r="L6" s="65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13"/>
      <c r="B7" s="26"/>
      <c r="C7" s="101"/>
      <c r="D7" s="84"/>
      <c r="E7" s="84"/>
      <c r="F7" s="102" t="s">
        <v>193</v>
      </c>
      <c r="G7" s="13"/>
      <c r="H7" s="84"/>
      <c r="I7" s="101"/>
      <c r="J7" s="84"/>
      <c r="K7" s="102" t="s">
        <v>194</v>
      </c>
      <c r="L7" s="6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/>
      <c r="B8" s="105"/>
      <c r="C8" s="108">
        <f t="shared" ref="C8:E8" si="1">SUM(C9,C15)</f>
        <v>7298224.438</v>
      </c>
      <c r="D8" s="110">
        <f t="shared" si="1"/>
        <v>76.01451537</v>
      </c>
      <c r="E8" s="110">
        <f t="shared" si="1"/>
        <v>113.7323321</v>
      </c>
      <c r="F8" s="110">
        <f>F9+F15</f>
        <v>7331401.771</v>
      </c>
      <c r="G8" s="13"/>
      <c r="H8" s="113">
        <f t="shared" ref="H8:H16" si="3">C8</f>
        <v>7298224.438</v>
      </c>
      <c r="I8" s="108">
        <f t="shared" ref="I8:I11" si="4">D8*$M$3</f>
        <v>2128.40643</v>
      </c>
      <c r="J8" s="110">
        <f t="shared" ref="J8:J11" si="5">E8*$N$3</f>
        <v>31048.92668</v>
      </c>
      <c r="K8" s="110">
        <f t="shared" ref="K8:K16" si="6">SUM(H8:J8)</f>
        <v>7331401.771</v>
      </c>
      <c r="L8" s="114">
        <v>1.0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7.25" customHeight="1">
      <c r="A9" s="115"/>
      <c r="B9" s="116" t="s">
        <v>202</v>
      </c>
      <c r="C9" s="117">
        <f t="shared" ref="C9:F9" si="2">SUM(C10:C14)</f>
        <v>7293545.626</v>
      </c>
      <c r="D9" s="117">
        <f t="shared" si="2"/>
        <v>76.01451537</v>
      </c>
      <c r="E9" s="117">
        <f t="shared" si="2"/>
        <v>113.7323321</v>
      </c>
      <c r="F9" s="117">
        <f t="shared" si="2"/>
        <v>7326722.959</v>
      </c>
      <c r="G9" s="115"/>
      <c r="H9" s="117">
        <f t="shared" si="3"/>
        <v>7293545.626</v>
      </c>
      <c r="I9" s="118">
        <f t="shared" si="4"/>
        <v>2128.40643</v>
      </c>
      <c r="J9" s="117">
        <f t="shared" si="5"/>
        <v>31048.92668</v>
      </c>
      <c r="K9" s="117">
        <f t="shared" si="6"/>
        <v>7326722.959</v>
      </c>
      <c r="L9" s="119">
        <f t="shared" ref="L9:L16" si="7">F9/$F$8</f>
        <v>0.9993618121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2.75" customHeight="1">
      <c r="A10" s="13"/>
      <c r="B10" s="120" t="s">
        <v>206</v>
      </c>
      <c r="C10" s="121">
        <f>'S1-Stationary Combustion'!U67</f>
        <v>7287186.086</v>
      </c>
      <c r="D10" s="121">
        <f>'S1-Stationary Combustion'!W67</f>
        <v>75.98627791</v>
      </c>
      <c r="E10" s="121">
        <f>'S1-Stationary Combustion'!Y67</f>
        <v>113.7045434</v>
      </c>
      <c r="F10" s="121">
        <f t="shared" ref="F10:F14" si="8">C10+D10*28+E10*273</f>
        <v>7320355.042</v>
      </c>
      <c r="G10" s="13"/>
      <c r="H10" s="121">
        <f t="shared" si="3"/>
        <v>7287186.086</v>
      </c>
      <c r="I10" s="121">
        <f t="shared" si="4"/>
        <v>2127.615781</v>
      </c>
      <c r="J10" s="121">
        <f t="shared" si="5"/>
        <v>31041.34036</v>
      </c>
      <c r="K10" s="121">
        <f t="shared" si="6"/>
        <v>7320355.042</v>
      </c>
      <c r="L10" s="119">
        <f t="shared" si="7"/>
        <v>0.998493231</v>
      </c>
      <c r="M10" s="12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13"/>
      <c r="B11" s="120" t="s">
        <v>208</v>
      </c>
      <c r="C11" s="121">
        <f>'S1-Mobile Combustion'!U67</f>
        <v>528.113547</v>
      </c>
      <c r="D11" s="123">
        <f>'S1-Mobile Combustion'!W67</f>
        <v>0.02823746556</v>
      </c>
      <c r="E11" s="121">
        <f>'S1-Mobile Combustion'!Y67</f>
        <v>0.02778871301</v>
      </c>
      <c r="F11" s="121">
        <f t="shared" si="8"/>
        <v>536.4905147</v>
      </c>
      <c r="G11" s="13"/>
      <c r="H11" s="121">
        <f t="shared" si="3"/>
        <v>528.113547</v>
      </c>
      <c r="I11" s="121">
        <f t="shared" si="4"/>
        <v>0.7906490355</v>
      </c>
      <c r="J11" s="121">
        <f t="shared" si="5"/>
        <v>7.58631865</v>
      </c>
      <c r="K11" s="121">
        <f t="shared" si="6"/>
        <v>536.4905147</v>
      </c>
      <c r="L11" s="119">
        <f t="shared" si="7"/>
        <v>0.00007317707192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13"/>
      <c r="B12" s="120" t="s">
        <v>212</v>
      </c>
      <c r="C12" s="121">
        <f>'S1-Refrigerants'!S10</f>
        <v>642.047935</v>
      </c>
      <c r="D12" s="125"/>
      <c r="E12" s="126"/>
      <c r="F12" s="121">
        <f t="shared" si="8"/>
        <v>642.047935</v>
      </c>
      <c r="G12" s="13"/>
      <c r="H12" s="121">
        <f t="shared" si="3"/>
        <v>642.047935</v>
      </c>
      <c r="I12" s="125"/>
      <c r="J12" s="126"/>
      <c r="K12" s="121">
        <f t="shared" si="6"/>
        <v>642.047935</v>
      </c>
      <c r="L12" s="119">
        <f t="shared" si="7"/>
        <v>0.00008757505795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13"/>
      <c r="B13" s="120" t="s">
        <v>214</v>
      </c>
      <c r="C13" s="121">
        <f>'S1-Industrial processes'!R18</f>
        <v>5122.036686</v>
      </c>
      <c r="D13" s="123"/>
      <c r="E13" s="121"/>
      <c r="F13" s="121">
        <f t="shared" si="8"/>
        <v>5122.036686</v>
      </c>
      <c r="G13" s="13"/>
      <c r="H13" s="121">
        <f t="shared" si="3"/>
        <v>5122.036686</v>
      </c>
      <c r="I13" s="123"/>
      <c r="J13" s="121"/>
      <c r="K13" s="121">
        <f t="shared" si="6"/>
        <v>5122.036686</v>
      </c>
      <c r="L13" s="119">
        <f t="shared" si="7"/>
        <v>0.0006986435672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13"/>
      <c r="B14" s="120" t="s">
        <v>216</v>
      </c>
      <c r="C14" s="121">
        <f>SUM('S1-Wastewater Treatment'!Y13,'S1-Wastewater Treatment'!Y25)</f>
        <v>67.34235069</v>
      </c>
      <c r="D14" s="123"/>
      <c r="E14" s="121"/>
      <c r="F14" s="121">
        <f t="shared" si="8"/>
        <v>67.34235069</v>
      </c>
      <c r="G14" s="13"/>
      <c r="H14" s="121">
        <f t="shared" si="3"/>
        <v>67.34235069</v>
      </c>
      <c r="I14" s="123"/>
      <c r="J14" s="121"/>
      <c r="K14" s="121">
        <f t="shared" si="6"/>
        <v>67.34235069</v>
      </c>
      <c r="L14" s="119">
        <f t="shared" si="7"/>
        <v>0.000009185467227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7.25" customHeight="1">
      <c r="A15" s="115"/>
      <c r="B15" s="116" t="s">
        <v>218</v>
      </c>
      <c r="C15" s="117">
        <f>C16</f>
        <v>4678.81175</v>
      </c>
      <c r="D15" s="117"/>
      <c r="E15" s="117"/>
      <c r="F15" s="117">
        <f t="shared" ref="F15:F16" si="9">C15</f>
        <v>4678.81175</v>
      </c>
      <c r="G15" s="115"/>
      <c r="H15" s="117">
        <f t="shared" si="3"/>
        <v>4678.81175</v>
      </c>
      <c r="I15" s="117"/>
      <c r="J15" s="117"/>
      <c r="K15" s="117">
        <f t="shared" si="6"/>
        <v>4678.81175</v>
      </c>
      <c r="L15" s="119">
        <f t="shared" si="7"/>
        <v>0.0006381878795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2.75" customHeight="1">
      <c r="A16" s="13"/>
      <c r="B16" s="120" t="s">
        <v>220</v>
      </c>
      <c r="C16" s="121">
        <f>'S2-Electricity Consumption'!F19</f>
        <v>4678.81175</v>
      </c>
      <c r="D16" s="121"/>
      <c r="E16" s="121"/>
      <c r="F16" s="121">
        <f t="shared" si="9"/>
        <v>4678.81175</v>
      </c>
      <c r="G16" s="13"/>
      <c r="H16" s="121">
        <f t="shared" si="3"/>
        <v>4678.81175</v>
      </c>
      <c r="I16" s="121"/>
      <c r="J16" s="121"/>
      <c r="K16" s="121">
        <f t="shared" si="6"/>
        <v>4678.81175</v>
      </c>
      <c r="L16" s="119">
        <f t="shared" si="7"/>
        <v>0.0006381878795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13"/>
      <c r="B17" s="13"/>
      <c r="C17" s="127"/>
      <c r="D17" s="127"/>
      <c r="E17" s="127"/>
      <c r="F17" s="127"/>
      <c r="G17" s="13"/>
      <c r="H17" s="127"/>
      <c r="I17" s="127"/>
      <c r="J17" s="127"/>
      <c r="K17" s="127"/>
      <c r="L17" s="1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6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6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6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6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3"/>
      <c r="B22" s="135" t="s">
        <v>206</v>
      </c>
      <c r="C22" s="136">
        <f t="shared" ref="C22:C26" si="10">L10</f>
        <v>0.998493231</v>
      </c>
      <c r="D22" s="13"/>
      <c r="E22" s="13"/>
      <c r="F22" s="13"/>
      <c r="G22" s="13"/>
      <c r="H22" s="136"/>
      <c r="I22" s="13"/>
      <c r="J22" s="13"/>
      <c r="K22" s="13"/>
      <c r="L22" s="6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3"/>
      <c r="B23" s="135" t="s">
        <v>208</v>
      </c>
      <c r="C23" s="136">
        <f t="shared" si="10"/>
        <v>0.00007317707192</v>
      </c>
      <c r="D23" s="13"/>
      <c r="E23" s="13"/>
      <c r="F23" s="13"/>
      <c r="G23" s="13"/>
      <c r="H23" s="136"/>
      <c r="I23" s="13"/>
      <c r="J23" s="13"/>
      <c r="K23" s="13"/>
      <c r="L23" s="6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3"/>
      <c r="B24" s="135" t="s">
        <v>212</v>
      </c>
      <c r="C24" s="136">
        <f t="shared" si="10"/>
        <v>0.00008757505795</v>
      </c>
      <c r="D24" s="13"/>
      <c r="E24" s="13"/>
      <c r="F24" s="13"/>
      <c r="G24" s="13"/>
      <c r="H24" s="136"/>
      <c r="I24" s="13"/>
      <c r="J24" s="13"/>
      <c r="K24" s="13"/>
      <c r="L24" s="6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3"/>
      <c r="B25" s="135" t="s">
        <v>214</v>
      </c>
      <c r="C25" s="136">
        <f t="shared" si="10"/>
        <v>0.0006986435672</v>
      </c>
      <c r="D25" s="13"/>
      <c r="E25" s="13"/>
      <c r="F25" s="13"/>
      <c r="G25" s="13"/>
      <c r="H25" s="136"/>
      <c r="I25" s="13"/>
      <c r="J25" s="13"/>
      <c r="K25" s="13"/>
      <c r="L25" s="6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3"/>
      <c r="B26" s="135" t="s">
        <v>216</v>
      </c>
      <c r="C26" s="136">
        <f t="shared" si="10"/>
        <v>0.000009185467227</v>
      </c>
      <c r="D26" s="13"/>
      <c r="E26" s="13"/>
      <c r="F26" s="13"/>
      <c r="G26" s="13"/>
      <c r="H26" s="136"/>
      <c r="I26" s="13"/>
      <c r="J26" s="13"/>
      <c r="K26" s="13"/>
      <c r="L26" s="6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3"/>
      <c r="B27" s="135" t="s">
        <v>220</v>
      </c>
      <c r="C27" s="136">
        <f>L16</f>
        <v>0.0006381878795</v>
      </c>
      <c r="D27" s="13"/>
      <c r="E27" s="13"/>
      <c r="F27" s="13"/>
      <c r="G27" s="13"/>
      <c r="H27" s="136"/>
      <c r="I27" s="13"/>
      <c r="J27" s="13"/>
      <c r="K27" s="13"/>
      <c r="L27" s="6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6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6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6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6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6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6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6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6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6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6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6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6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6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6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6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6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6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6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6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6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6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6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6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6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6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6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6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6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6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6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6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6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6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6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6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6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6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6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6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6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6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6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6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6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6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6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6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6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6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6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6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6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6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6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6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6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6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6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6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6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6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6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6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6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5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65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65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65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65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65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65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65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65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65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65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65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65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65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65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65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65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65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65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65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65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65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65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65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65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65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65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65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65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65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65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65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65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65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65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65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65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65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65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65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65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65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65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65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65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65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65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65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65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65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65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65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65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65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65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65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65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65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65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65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65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65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65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65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65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65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65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65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65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65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65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65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65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65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65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65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65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65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65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65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65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65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65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65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65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65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65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65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65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65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65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65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65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65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65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65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65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65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65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65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65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65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65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65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65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65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65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65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65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65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65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65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65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65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65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65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65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65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65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65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65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65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65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65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65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65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65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65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65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65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65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65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65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65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65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65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65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65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65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65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65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65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65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65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65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65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65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65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65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65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65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65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65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65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65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65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65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65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65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65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65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65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65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65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65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65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65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65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65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65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65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65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65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65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65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65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65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65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65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65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65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65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65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65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65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65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65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65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65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65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65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65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65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65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65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65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65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65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65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65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65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65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65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65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65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65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65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65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65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65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65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65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65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65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65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65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65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65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65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65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65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65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65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65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65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65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65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65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65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65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65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65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65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65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65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65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65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65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65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65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65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65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65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65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65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65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65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65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65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65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65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65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65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65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65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65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65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65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65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65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65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65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65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65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65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65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65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65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65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65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65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65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6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6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6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65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65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65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65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65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65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65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65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65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65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6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6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6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6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6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6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6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6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6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6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6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6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6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6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6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6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6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6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6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6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6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6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6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6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6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6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6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6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6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6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6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6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6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6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6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6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6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6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6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6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6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6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6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6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6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6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6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6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6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6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6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6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6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6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6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6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6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6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6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6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6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6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6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6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6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6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6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6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6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6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6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6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6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6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6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6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6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6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6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6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6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6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6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6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6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6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6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6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6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6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6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6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6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6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6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6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6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6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6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6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6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6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6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6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6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6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6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6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6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6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6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6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6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6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6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6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6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6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6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6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6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6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6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6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6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6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6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6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6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6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6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6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6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6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6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6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6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6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6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6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6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6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6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6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6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6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6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6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6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6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6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6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6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6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6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6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6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6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6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6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6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6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6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6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6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6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6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6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6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6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6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6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6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6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6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6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6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6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6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6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6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6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6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6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6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6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6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6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6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6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6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6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6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6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6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6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6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6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6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6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6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6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6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6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6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6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6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6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6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6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6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6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6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6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6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6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6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6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6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6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6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6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6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6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6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6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6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6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6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6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6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6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6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6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6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6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6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6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6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6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6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6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6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6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65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65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65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65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65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65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65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65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65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65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65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65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65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65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65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65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65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65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65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65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65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65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65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65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65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65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65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65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65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65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65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65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65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65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65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65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65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65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65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65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65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65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65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65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65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65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65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65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65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65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65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65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65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65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65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65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65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65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65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65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65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65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65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65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65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65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65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65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65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65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65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65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65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65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65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65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65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65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65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65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65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65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65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65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65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65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65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65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65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65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65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65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65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65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65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65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65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65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65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65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65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65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65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65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65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65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65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65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65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65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65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65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65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65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65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65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65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65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65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65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65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65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65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65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65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65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65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65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65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65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65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65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65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65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65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65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65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65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65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65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65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65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65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65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65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65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65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65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65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65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65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65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65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65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65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65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65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65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65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65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65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65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65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65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65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65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65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65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65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65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65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65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65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65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65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65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65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65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65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65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65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65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65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65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65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65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65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65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65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65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65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65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65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65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65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65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65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65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65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65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65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65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65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65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65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65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65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65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65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65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65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65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65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65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65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65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65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65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65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65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65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65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65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65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65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65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65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65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65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65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65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65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65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65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65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65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65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65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65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65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65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65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65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65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65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65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65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65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65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65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65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65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65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65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65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65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65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65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65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65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65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65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65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65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65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65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65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65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65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65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65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65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65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65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65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65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65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65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65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65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65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65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65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65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65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65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65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65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65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65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65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65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65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65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65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65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65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65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65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65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65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65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65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65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65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65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65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65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65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65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65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65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65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65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65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65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65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65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65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65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65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65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65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65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65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65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65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65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65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65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65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65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65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65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65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65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65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65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65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65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65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65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65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65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65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65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65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65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65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65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65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65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65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65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65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65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65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65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65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65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65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65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65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65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65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65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65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65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65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65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65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65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65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65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65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65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65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65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65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3">
    <mergeCell ref="M2:N2"/>
    <mergeCell ref="B4:B8"/>
    <mergeCell ref="H6:K6"/>
  </mergeCells>
  <printOptions/>
  <pageMargins bottom="1.0" footer="0.0" header="0.0" left="0.75" right="0.75" top="1.0"/>
  <pageSetup paperSize="9" orientation="landscape"/>
  <colBreaks count="1" manualBreakCount="1"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9.13"/>
    <col customWidth="1" min="3" max="3" width="17.13"/>
    <col customWidth="1" min="4" max="5" width="13.63"/>
    <col customWidth="1" min="6" max="6" width="14.38"/>
    <col customWidth="1" min="7" max="7" width="39.5"/>
    <col customWidth="1" min="8" max="8" width="29.5"/>
    <col customWidth="1" min="9" max="9" width="9.13"/>
    <col customWidth="1" min="10" max="10" width="30.63"/>
    <col customWidth="1" min="11" max="12" width="21.13"/>
    <col customWidth="1" min="13" max="13" width="9.13"/>
    <col customWidth="1" min="14" max="14" width="38.5"/>
    <col customWidth="1" min="15" max="15" width="30.88"/>
    <col customWidth="1" min="16" max="16" width="13.0"/>
    <col customWidth="1" min="17" max="17" width="9.13"/>
    <col customWidth="1" min="18" max="18" width="41.38"/>
    <col customWidth="1" min="19" max="19" width="8.0"/>
    <col customWidth="1" min="20" max="20" width="9.13"/>
    <col customWidth="1" min="21" max="21" width="22.88"/>
    <col customWidth="1" min="22" max="28" width="9.13"/>
  </cols>
  <sheetData>
    <row r="1" ht="11.25" customHeight="1">
      <c r="A1" s="2"/>
      <c r="B1" s="2" t="s">
        <v>0</v>
      </c>
      <c r="C1" s="4"/>
      <c r="D1" s="4"/>
      <c r="E1" s="4"/>
      <c r="F1" s="4"/>
      <c r="G1" s="4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1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6.25" customHeight="1">
      <c r="A3" s="12"/>
      <c r="B3" s="15" t="s">
        <v>3</v>
      </c>
      <c r="C3" s="17"/>
      <c r="D3" s="17"/>
      <c r="E3" s="17"/>
      <c r="F3" s="17"/>
      <c r="G3" s="17"/>
      <c r="H3" s="18"/>
      <c r="I3" s="12"/>
      <c r="J3" s="15" t="s">
        <v>6</v>
      </c>
      <c r="K3" s="17"/>
      <c r="L3" s="18"/>
      <c r="M3" s="12"/>
      <c r="N3" s="15" t="s">
        <v>8</v>
      </c>
      <c r="O3" s="17"/>
      <c r="P3" s="18"/>
      <c r="Q3" s="12"/>
      <c r="R3" s="15" t="s">
        <v>13</v>
      </c>
      <c r="S3" s="17"/>
      <c r="T3" s="18"/>
      <c r="U3" s="12"/>
      <c r="V3" s="12"/>
      <c r="W3" s="12"/>
      <c r="X3" s="12"/>
      <c r="Y3" s="12"/>
      <c r="Z3" s="12"/>
      <c r="AA3" s="30"/>
      <c r="AB3" s="30"/>
    </row>
    <row r="4" ht="11.25" customHeight="1">
      <c r="A4" s="12"/>
      <c r="B4" s="32" t="s">
        <v>19</v>
      </c>
      <c r="C4" s="32" t="s">
        <v>24</v>
      </c>
      <c r="D4" s="32" t="s">
        <v>4</v>
      </c>
      <c r="E4" s="32" t="s">
        <v>27</v>
      </c>
      <c r="F4" s="32" t="s">
        <v>29</v>
      </c>
      <c r="G4" s="32" t="s">
        <v>31</v>
      </c>
      <c r="H4" s="32" t="s">
        <v>33</v>
      </c>
      <c r="I4" s="12"/>
      <c r="J4" s="32" t="s">
        <v>34</v>
      </c>
      <c r="K4" s="32" t="s">
        <v>36</v>
      </c>
      <c r="L4" s="32" t="s">
        <v>6</v>
      </c>
      <c r="M4" s="12"/>
      <c r="N4" s="36" t="s">
        <v>37</v>
      </c>
      <c r="O4" s="38" t="s">
        <v>38</v>
      </c>
      <c r="P4" s="39" t="s">
        <v>39</v>
      </c>
      <c r="Q4" s="12"/>
      <c r="R4" s="32"/>
      <c r="S4" s="32" t="s">
        <v>41</v>
      </c>
      <c r="T4" s="32" t="s">
        <v>43</v>
      </c>
      <c r="U4" s="12"/>
      <c r="V4" s="12"/>
      <c r="W4" s="12"/>
      <c r="X4" s="12"/>
      <c r="Y4" s="12"/>
      <c r="Z4" s="12"/>
      <c r="AA4" s="30"/>
      <c r="AB4" s="30"/>
    </row>
    <row r="5" ht="11.25" customHeight="1">
      <c r="A5" s="12"/>
      <c r="B5" s="41">
        <v>1.0</v>
      </c>
      <c r="C5" s="42" t="s">
        <v>56</v>
      </c>
      <c r="D5" s="41" t="s">
        <v>58</v>
      </c>
      <c r="E5" s="41" t="s">
        <v>60</v>
      </c>
      <c r="F5" s="41">
        <v>0.86</v>
      </c>
      <c r="G5" s="41" t="s">
        <v>63</v>
      </c>
      <c r="H5" s="42"/>
      <c r="I5" s="12"/>
      <c r="J5" s="44" t="s">
        <v>67</v>
      </c>
      <c r="K5" s="45" t="s">
        <v>68</v>
      </c>
      <c r="L5" s="45">
        <v>1.0</v>
      </c>
      <c r="M5" s="12"/>
      <c r="N5" s="46" t="s">
        <v>69</v>
      </c>
      <c r="O5" s="46" t="s">
        <v>74</v>
      </c>
      <c r="P5" s="47">
        <v>0.6</v>
      </c>
      <c r="Q5" s="12"/>
      <c r="R5" s="44" t="s">
        <v>81</v>
      </c>
      <c r="S5" s="45" t="s">
        <v>83</v>
      </c>
      <c r="T5" s="44">
        <v>0.3</v>
      </c>
      <c r="U5" s="12"/>
      <c r="V5" s="12"/>
      <c r="W5" s="12"/>
      <c r="X5" s="12"/>
      <c r="Y5" s="12"/>
      <c r="Z5" s="12"/>
      <c r="AA5" s="30"/>
      <c r="AB5" s="30"/>
    </row>
    <row r="6" ht="11.25" customHeight="1">
      <c r="A6" s="12"/>
      <c r="B6" s="41">
        <v>2.0</v>
      </c>
      <c r="C6" s="42" t="s">
        <v>88</v>
      </c>
      <c r="D6" s="41" t="s">
        <v>90</v>
      </c>
      <c r="E6" s="42"/>
      <c r="F6" s="42"/>
      <c r="G6" s="42"/>
      <c r="H6" s="42"/>
      <c r="I6" s="12"/>
      <c r="J6" s="44" t="s">
        <v>92</v>
      </c>
      <c r="K6" s="45" t="s">
        <v>93</v>
      </c>
      <c r="L6" s="50">
        <v>27.9</v>
      </c>
      <c r="M6" s="12"/>
      <c r="N6" s="46" t="s">
        <v>94</v>
      </c>
      <c r="O6" s="46" t="s">
        <v>95</v>
      </c>
      <c r="P6" s="53">
        <v>0.25</v>
      </c>
      <c r="Q6" s="12"/>
      <c r="R6" s="44" t="s">
        <v>97</v>
      </c>
      <c r="S6" s="45" t="s">
        <v>99</v>
      </c>
      <c r="T6" s="44">
        <v>0.5</v>
      </c>
      <c r="U6" s="12"/>
      <c r="V6" s="12"/>
      <c r="W6" s="12"/>
      <c r="X6" s="12"/>
      <c r="Y6" s="12"/>
      <c r="Z6" s="12"/>
      <c r="AA6" s="30"/>
      <c r="AB6" s="30"/>
    </row>
    <row r="7" ht="11.25" customHeight="1">
      <c r="A7" s="12"/>
      <c r="B7" s="41">
        <v>3.0</v>
      </c>
      <c r="C7" s="42" t="s">
        <v>105</v>
      </c>
      <c r="D7" s="41" t="s">
        <v>106</v>
      </c>
      <c r="E7" s="42"/>
      <c r="F7" s="41">
        <v>0.8</v>
      </c>
      <c r="G7" s="42"/>
      <c r="H7" s="42" t="s">
        <v>109</v>
      </c>
      <c r="I7" s="12"/>
      <c r="J7" s="44" t="s">
        <v>110</v>
      </c>
      <c r="K7" s="45" t="s">
        <v>112</v>
      </c>
      <c r="L7" s="45">
        <v>273.0</v>
      </c>
      <c r="M7" s="12"/>
      <c r="N7" s="57"/>
      <c r="O7" s="57"/>
      <c r="P7" s="60"/>
      <c r="Q7" s="12"/>
      <c r="R7" s="44" t="s">
        <v>115</v>
      </c>
      <c r="S7" s="45" t="s">
        <v>116</v>
      </c>
      <c r="T7" s="44">
        <v>0.1</v>
      </c>
      <c r="U7" s="12"/>
      <c r="V7" s="12"/>
      <c r="W7" s="12"/>
      <c r="X7" s="12"/>
      <c r="Y7" s="12"/>
      <c r="Z7" s="12"/>
      <c r="AA7" s="30"/>
      <c r="AB7" s="30"/>
    </row>
    <row r="8" ht="11.25" customHeight="1">
      <c r="A8" s="12"/>
      <c r="B8" s="41">
        <v>4.0</v>
      </c>
      <c r="C8" s="42" t="s">
        <v>118</v>
      </c>
      <c r="D8" s="41" t="s">
        <v>119</v>
      </c>
      <c r="E8" s="42"/>
      <c r="F8" s="41">
        <v>862.0</v>
      </c>
      <c r="G8" s="41" t="s">
        <v>120</v>
      </c>
      <c r="H8" s="42"/>
      <c r="I8" s="12"/>
      <c r="J8" s="44" t="s">
        <v>122</v>
      </c>
      <c r="K8" s="45" t="s">
        <v>123</v>
      </c>
      <c r="L8" s="61">
        <v>25200.0</v>
      </c>
      <c r="M8" s="12"/>
      <c r="N8" s="30"/>
      <c r="O8" s="30"/>
      <c r="P8" s="30"/>
      <c r="Q8" s="12"/>
      <c r="R8" s="44" t="s">
        <v>125</v>
      </c>
      <c r="S8" s="45" t="s">
        <v>127</v>
      </c>
      <c r="T8" s="44">
        <v>0.01</v>
      </c>
      <c r="U8" s="12"/>
      <c r="V8" s="12"/>
      <c r="W8" s="12"/>
      <c r="X8" s="30"/>
      <c r="Y8" s="30"/>
      <c r="Z8" s="30"/>
      <c r="AA8" s="30"/>
      <c r="AB8" s="30"/>
    </row>
    <row r="9" ht="11.25" customHeight="1">
      <c r="A9" s="12"/>
      <c r="B9" s="41">
        <v>5.0</v>
      </c>
      <c r="C9" s="42" t="s">
        <v>118</v>
      </c>
      <c r="D9" s="41" t="s">
        <v>129</v>
      </c>
      <c r="E9" s="42"/>
      <c r="F9" s="41">
        <v>0.862</v>
      </c>
      <c r="G9" s="41" t="s">
        <v>120</v>
      </c>
      <c r="H9" s="42"/>
      <c r="I9" s="12"/>
      <c r="J9" s="44" t="s">
        <v>130</v>
      </c>
      <c r="K9" s="45" t="s">
        <v>131</v>
      </c>
      <c r="L9" s="61">
        <v>17400.0</v>
      </c>
      <c r="M9" s="12"/>
      <c r="N9" s="30"/>
      <c r="O9" s="30"/>
      <c r="P9" s="30"/>
      <c r="Q9" s="12"/>
      <c r="R9" s="12"/>
      <c r="S9" s="12"/>
      <c r="T9" s="12"/>
      <c r="U9" s="30"/>
      <c r="V9" s="30"/>
      <c r="W9" s="30"/>
      <c r="X9" s="30"/>
      <c r="Y9" s="30"/>
      <c r="Z9" s="30"/>
      <c r="AA9" s="30"/>
      <c r="AB9" s="30"/>
    </row>
    <row r="10" ht="11.25" customHeight="1">
      <c r="A10" s="12"/>
      <c r="B10" s="41">
        <v>6.0</v>
      </c>
      <c r="C10" s="42" t="s">
        <v>132</v>
      </c>
      <c r="D10" s="41" t="s">
        <v>129</v>
      </c>
      <c r="E10" s="41">
        <v>522.2</v>
      </c>
      <c r="F10" s="41">
        <v>522.2</v>
      </c>
      <c r="G10" s="41" t="s">
        <v>134</v>
      </c>
      <c r="H10" s="42" t="s">
        <v>135</v>
      </c>
      <c r="I10" s="12"/>
      <c r="J10" s="44" t="s">
        <v>136</v>
      </c>
      <c r="K10" s="45" t="s">
        <v>137</v>
      </c>
      <c r="L10" s="61">
        <v>14600.0</v>
      </c>
      <c r="M10" s="12"/>
      <c r="N10" s="30"/>
      <c r="O10" s="30"/>
      <c r="P10" s="30"/>
      <c r="Q10" s="12"/>
      <c r="R10" s="15" t="s">
        <v>139</v>
      </c>
      <c r="S10" s="17"/>
      <c r="T10" s="18"/>
      <c r="U10" s="30"/>
      <c r="V10" s="30"/>
      <c r="W10" s="30"/>
      <c r="X10" s="30"/>
      <c r="Y10" s="30"/>
      <c r="Z10" s="30"/>
      <c r="AA10" s="30"/>
      <c r="AB10" s="30"/>
    </row>
    <row r="11" ht="11.25" customHeight="1">
      <c r="A11" s="12"/>
      <c r="B11" s="41">
        <v>7.0</v>
      </c>
      <c r="C11" s="42" t="s">
        <v>132</v>
      </c>
      <c r="D11" s="41" t="s">
        <v>140</v>
      </c>
      <c r="E11" s="41">
        <v>1915.0</v>
      </c>
      <c r="F11" s="41">
        <v>1915.0</v>
      </c>
      <c r="G11" s="41" t="s">
        <v>134</v>
      </c>
      <c r="H11" s="42"/>
      <c r="I11" s="12"/>
      <c r="J11" s="44" t="s">
        <v>142</v>
      </c>
      <c r="K11" s="45" t="s">
        <v>143</v>
      </c>
      <c r="L11" s="45">
        <v>771.0</v>
      </c>
      <c r="M11" s="12"/>
      <c r="N11" s="30"/>
      <c r="O11" s="30"/>
      <c r="P11" s="30"/>
      <c r="Q11" s="12"/>
      <c r="R11" s="32"/>
      <c r="S11" s="32" t="s">
        <v>145</v>
      </c>
      <c r="T11" s="32" t="s">
        <v>146</v>
      </c>
      <c r="U11" s="30"/>
      <c r="V11" s="30"/>
      <c r="W11" s="30"/>
      <c r="X11" s="30"/>
      <c r="Y11" s="30"/>
      <c r="Z11" s="30"/>
      <c r="AA11" s="30"/>
      <c r="AB11" s="30"/>
    </row>
    <row r="12" ht="11.25" customHeight="1">
      <c r="A12" s="12"/>
      <c r="B12" s="41">
        <v>8.0</v>
      </c>
      <c r="C12" s="42" t="s">
        <v>147</v>
      </c>
      <c r="D12" s="41" t="s">
        <v>129</v>
      </c>
      <c r="E12" s="41">
        <v>436.0</v>
      </c>
      <c r="F12" s="41">
        <v>436.0</v>
      </c>
      <c r="G12" s="41" t="s">
        <v>148</v>
      </c>
      <c r="H12" s="42"/>
      <c r="I12" s="12"/>
      <c r="J12" s="44" t="s">
        <v>149</v>
      </c>
      <c r="K12" s="45" t="s">
        <v>151</v>
      </c>
      <c r="L12" s="61">
        <v>1530.0</v>
      </c>
      <c r="M12" s="12"/>
      <c r="N12" s="30"/>
      <c r="O12" s="30"/>
      <c r="P12" s="30"/>
      <c r="Q12" s="12"/>
      <c r="R12" s="44" t="s">
        <v>81</v>
      </c>
      <c r="S12" s="45" t="s">
        <v>152</v>
      </c>
      <c r="T12" s="44">
        <v>0.3</v>
      </c>
      <c r="U12" s="30"/>
      <c r="V12" s="30"/>
      <c r="W12" s="30"/>
      <c r="X12" s="30"/>
      <c r="Y12" s="30"/>
      <c r="Z12" s="30"/>
      <c r="AA12" s="30"/>
      <c r="AB12" s="30"/>
    </row>
    <row r="13" ht="11.25" customHeight="1">
      <c r="A13" s="12"/>
      <c r="B13" s="41">
        <v>9.0</v>
      </c>
      <c r="C13" s="42" t="s">
        <v>153</v>
      </c>
      <c r="D13" s="41" t="s">
        <v>129</v>
      </c>
      <c r="E13" s="41" t="s">
        <v>154</v>
      </c>
      <c r="F13" s="41">
        <v>0.925</v>
      </c>
      <c r="G13" s="81" t="s">
        <v>155</v>
      </c>
      <c r="H13" s="42"/>
      <c r="I13" s="12"/>
      <c r="J13" s="44" t="s">
        <v>159</v>
      </c>
      <c r="K13" s="45" t="s">
        <v>160</v>
      </c>
      <c r="L13" s="61">
        <v>3600.0</v>
      </c>
      <c r="M13" s="12"/>
      <c r="N13" s="30"/>
      <c r="O13" s="30"/>
      <c r="P13" s="30"/>
      <c r="Q13" s="12"/>
      <c r="R13" s="44" t="s">
        <v>162</v>
      </c>
      <c r="S13" s="45" t="s">
        <v>163</v>
      </c>
      <c r="T13" s="44">
        <v>0.2</v>
      </c>
      <c r="U13" s="30"/>
      <c r="V13" s="30"/>
      <c r="W13" s="30"/>
      <c r="X13" s="30"/>
      <c r="Y13" s="30"/>
      <c r="Z13" s="30"/>
      <c r="AA13" s="30"/>
      <c r="AB13" s="30"/>
    </row>
    <row r="14" ht="11.25" customHeight="1">
      <c r="A14" s="12"/>
      <c r="B14" s="41">
        <v>10.0</v>
      </c>
      <c r="C14" s="42" t="s">
        <v>165</v>
      </c>
      <c r="D14" s="41" t="s">
        <v>129</v>
      </c>
      <c r="E14" s="41" t="s">
        <v>166</v>
      </c>
      <c r="F14" s="41">
        <v>828.0</v>
      </c>
      <c r="G14" s="41" t="s">
        <v>167</v>
      </c>
      <c r="H14" s="42" t="s">
        <v>168</v>
      </c>
      <c r="I14" s="12"/>
      <c r="J14" s="85" t="s">
        <v>171</v>
      </c>
      <c r="K14" s="47" t="s">
        <v>173</v>
      </c>
      <c r="L14" s="87">
        <v>1960.0</v>
      </c>
      <c r="M14" s="12"/>
      <c r="N14" s="30"/>
      <c r="O14" s="30"/>
      <c r="P14" s="30"/>
      <c r="Q14" s="12"/>
      <c r="R14" s="44" t="s">
        <v>174</v>
      </c>
      <c r="S14" s="45" t="s">
        <v>175</v>
      </c>
      <c r="T14" s="44">
        <v>0.8</v>
      </c>
      <c r="U14" s="30"/>
      <c r="V14" s="30"/>
      <c r="W14" s="30"/>
      <c r="X14" s="30"/>
      <c r="Y14" s="30"/>
      <c r="Z14" s="30"/>
      <c r="AA14" s="30"/>
      <c r="AB14" s="30"/>
    </row>
    <row r="15" ht="11.25" customHeight="1">
      <c r="A15" s="12"/>
      <c r="B15" s="41">
        <v>11.0</v>
      </c>
      <c r="C15" s="42" t="s">
        <v>165</v>
      </c>
      <c r="D15" s="41" t="s">
        <v>129</v>
      </c>
      <c r="E15" s="41">
        <v>876.0</v>
      </c>
      <c r="F15" s="41">
        <v>876.0</v>
      </c>
      <c r="G15" s="41" t="s">
        <v>178</v>
      </c>
      <c r="H15" s="42" t="s">
        <v>179</v>
      </c>
      <c r="I15" s="12"/>
      <c r="J15" s="85" t="s">
        <v>180</v>
      </c>
      <c r="K15" s="47" t="s">
        <v>182</v>
      </c>
      <c r="L15" s="87">
        <v>90.4</v>
      </c>
      <c r="M15" s="12"/>
      <c r="N15" s="30"/>
      <c r="O15" s="30"/>
      <c r="P15" s="30"/>
      <c r="Q15" s="12"/>
      <c r="R15" s="44" t="s">
        <v>115</v>
      </c>
      <c r="S15" s="45" t="s">
        <v>184</v>
      </c>
      <c r="T15" s="44">
        <v>0.1</v>
      </c>
      <c r="U15" s="30"/>
      <c r="V15" s="30"/>
      <c r="W15" s="30"/>
      <c r="X15" s="30"/>
      <c r="Y15" s="30"/>
      <c r="Z15" s="30"/>
      <c r="AA15" s="30"/>
      <c r="AB15" s="30"/>
    </row>
    <row r="16" ht="11.25" customHeight="1">
      <c r="A16" s="12"/>
      <c r="B16" s="41">
        <v>12.0</v>
      </c>
      <c r="C16" s="41" t="s">
        <v>186</v>
      </c>
      <c r="D16" s="41" t="s">
        <v>186</v>
      </c>
      <c r="E16" s="42"/>
      <c r="F16" s="42"/>
      <c r="G16" s="42"/>
      <c r="H16" s="42"/>
      <c r="I16" s="12"/>
      <c r="J16" s="85" t="s">
        <v>187</v>
      </c>
      <c r="K16" s="96" t="s">
        <v>189</v>
      </c>
      <c r="L16" s="61">
        <v>2087.5</v>
      </c>
      <c r="M16" s="12"/>
      <c r="N16" s="30"/>
      <c r="O16" s="30"/>
      <c r="P16" s="30"/>
      <c r="Q16" s="12"/>
      <c r="R16" s="100"/>
      <c r="S16" s="100"/>
      <c r="T16" s="100"/>
      <c r="U16" s="30"/>
      <c r="V16" s="30"/>
      <c r="W16" s="30"/>
      <c r="X16" s="30"/>
      <c r="Y16" s="30"/>
      <c r="Z16" s="30"/>
      <c r="AA16" s="30"/>
      <c r="AB16" s="30"/>
    </row>
    <row r="17" ht="11.25" customHeight="1">
      <c r="A17" s="12"/>
      <c r="B17" s="100"/>
      <c r="C17" s="100"/>
      <c r="D17" s="100"/>
      <c r="E17" s="100"/>
      <c r="F17" s="100"/>
      <c r="G17" s="100"/>
      <c r="H17" s="100"/>
      <c r="I17" s="12"/>
      <c r="J17" s="44" t="s">
        <v>191</v>
      </c>
      <c r="K17" s="45" t="s">
        <v>192</v>
      </c>
      <c r="L17" s="61">
        <v>3921.6</v>
      </c>
      <c r="M17" s="12"/>
      <c r="N17" s="30"/>
      <c r="O17" s="30"/>
      <c r="P17" s="30"/>
      <c r="Q17" s="12"/>
      <c r="R17" s="100"/>
      <c r="S17" s="100"/>
      <c r="T17" s="100"/>
      <c r="U17" s="12"/>
      <c r="V17" s="12"/>
      <c r="W17" s="12"/>
      <c r="X17" s="30"/>
      <c r="Y17" s="30"/>
      <c r="Z17" s="30"/>
      <c r="AA17" s="30"/>
      <c r="AB17" s="30"/>
    </row>
    <row r="18" ht="11.25" customHeight="1">
      <c r="A18" s="12"/>
      <c r="B18" s="100"/>
      <c r="C18" s="100"/>
      <c r="D18" s="100"/>
      <c r="E18" s="100"/>
      <c r="F18" s="100"/>
      <c r="G18" s="100"/>
      <c r="H18" s="100"/>
      <c r="I18" s="12"/>
      <c r="J18" s="44" t="s">
        <v>195</v>
      </c>
      <c r="K18" s="45" t="s">
        <v>196</v>
      </c>
      <c r="L18" s="61">
        <v>1773.85</v>
      </c>
      <c r="M18" s="12"/>
      <c r="N18" s="30"/>
      <c r="O18" s="30"/>
      <c r="P18" s="30"/>
      <c r="Q18" s="12"/>
      <c r="R18" s="100"/>
      <c r="S18" s="100"/>
      <c r="T18" s="100"/>
      <c r="U18" s="12"/>
      <c r="V18" s="12"/>
      <c r="W18" s="12"/>
      <c r="X18" s="30"/>
      <c r="Y18" s="30"/>
      <c r="Z18" s="30"/>
      <c r="AA18" s="30"/>
      <c r="AB18" s="30"/>
    </row>
    <row r="19" ht="11.25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7"/>
      <c r="L19" s="107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</row>
    <row r="20" ht="11.25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7"/>
      <c r="L20" s="107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</row>
    <row r="21" ht="11.2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7"/>
      <c r="L21" s="107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</row>
    <row r="22" ht="25.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7"/>
      <c r="L22" s="107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</row>
    <row r="23" ht="11.2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7"/>
      <c r="L23" s="107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</row>
    <row r="24" ht="11.2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7"/>
      <c r="L24" s="107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</row>
    <row r="25" ht="11.2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7"/>
      <c r="L25" s="107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ht="11.2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7"/>
      <c r="L26" s="107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ht="11.25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7"/>
      <c r="L27" s="107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 ht="11.2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7"/>
      <c r="L28" s="107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 ht="11.25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7"/>
      <c r="L29" s="107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 ht="11.25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7"/>
      <c r="L30" s="107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 ht="11.2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7"/>
      <c r="L31" s="107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 ht="11.25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7"/>
      <c r="L32" s="107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ht="11.2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7"/>
      <c r="L33" s="107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ht="11.2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7"/>
      <c r="L34" s="107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ht="11.25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7"/>
      <c r="L35" s="107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ht="11.25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7"/>
      <c r="L36" s="107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ht="11.2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7"/>
      <c r="L37" s="107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ht="11.2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7"/>
      <c r="L38" s="107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ht="11.2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7"/>
      <c r="L39" s="107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ht="11.2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7"/>
      <c r="L40" s="107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ht="11.2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7"/>
      <c r="L41" s="107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ht="11.2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7"/>
      <c r="L42" s="107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ht="11.2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7"/>
      <c r="L43" s="107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ht="11.2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7"/>
      <c r="L44" s="107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ht="11.2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7"/>
      <c r="L45" s="107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ht="11.2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7"/>
      <c r="L46" s="107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ht="11.2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7"/>
      <c r="L47" s="107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ht="11.2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7"/>
      <c r="L48" s="107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ht="11.2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7"/>
      <c r="L49" s="107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ht="11.2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7"/>
      <c r="L50" s="107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 ht="11.2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7"/>
      <c r="L51" s="107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 ht="11.2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7"/>
      <c r="L52" s="107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 ht="11.2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7"/>
      <c r="L53" s="107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 ht="11.2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7"/>
      <c r="L54" s="107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 ht="11.2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7"/>
      <c r="L55" s="107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 ht="11.2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7"/>
      <c r="L56" s="107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 ht="11.2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7"/>
      <c r="L57" s="107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 ht="11.2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7"/>
      <c r="L58" s="107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 ht="11.2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7"/>
      <c r="L59" s="107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 ht="11.2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7"/>
      <c r="L60" s="107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 ht="11.2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7"/>
      <c r="L61" s="107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 ht="11.2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7"/>
      <c r="L62" s="107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 ht="11.2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7"/>
      <c r="L63" s="107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 ht="11.2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7"/>
      <c r="L64" s="107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 ht="11.2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7"/>
      <c r="L65" s="107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 ht="11.2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7"/>
      <c r="L66" s="107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 ht="11.2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7"/>
      <c r="L67" s="107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 ht="11.2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7"/>
      <c r="L68" s="107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 ht="11.2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7"/>
      <c r="L69" s="107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 ht="11.2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7"/>
      <c r="L70" s="107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 ht="11.2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7"/>
      <c r="L71" s="107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 ht="11.2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7"/>
      <c r="L72" s="107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 ht="11.2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7"/>
      <c r="L73" s="107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 ht="11.2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7"/>
      <c r="L74" s="107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 ht="11.2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7"/>
      <c r="L75" s="107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 ht="11.2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7"/>
      <c r="L76" s="107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 ht="11.2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7"/>
      <c r="L77" s="107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 ht="11.2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7"/>
      <c r="L78" s="107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 ht="11.2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7"/>
      <c r="L79" s="107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 ht="11.2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7"/>
      <c r="L80" s="107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 ht="11.2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7"/>
      <c r="L81" s="107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 ht="11.2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7"/>
      <c r="L82" s="107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 ht="11.2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7"/>
      <c r="L83" s="107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 ht="11.2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7"/>
      <c r="L84" s="107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 ht="11.2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7"/>
      <c r="L85" s="107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 ht="11.2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7"/>
      <c r="L86" s="107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ht="11.2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7"/>
      <c r="L87" s="107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ht="11.2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7"/>
      <c r="L88" s="107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 ht="11.2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7"/>
      <c r="L89" s="107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 ht="11.2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7"/>
      <c r="L90" s="107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 ht="11.2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7"/>
      <c r="L91" s="107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 ht="11.2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7"/>
      <c r="L92" s="107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 ht="11.2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7"/>
      <c r="L93" s="107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 ht="11.2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7"/>
      <c r="L94" s="107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 ht="11.2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7"/>
      <c r="L95" s="107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 ht="11.2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7"/>
      <c r="L96" s="107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 ht="11.2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7"/>
      <c r="L97" s="107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 ht="11.2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7"/>
      <c r="L98" s="107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 ht="11.2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7"/>
      <c r="L99" s="107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 ht="11.2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7"/>
      <c r="L100" s="107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 ht="11.2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7"/>
      <c r="L101" s="107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 ht="11.2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7"/>
      <c r="L102" s="107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 ht="11.2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7"/>
      <c r="L103" s="107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 ht="11.2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7"/>
      <c r="L104" s="107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 ht="11.2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7"/>
      <c r="L105" s="107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 ht="11.2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7"/>
      <c r="L106" s="107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 ht="11.2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7"/>
      <c r="L107" s="107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 ht="11.2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7"/>
      <c r="L108" s="107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 ht="11.2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7"/>
      <c r="L109" s="107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 ht="11.2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7"/>
      <c r="L110" s="107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 ht="11.2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7"/>
      <c r="L111" s="107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 ht="11.2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7"/>
      <c r="L112" s="107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 ht="11.2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7"/>
      <c r="L113" s="107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 ht="11.2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7"/>
      <c r="L114" s="107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 ht="11.2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7"/>
      <c r="L115" s="107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 ht="11.2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7"/>
      <c r="L116" s="107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 ht="11.2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7"/>
      <c r="L117" s="107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 ht="11.2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7"/>
      <c r="L118" s="107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 ht="11.2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7"/>
      <c r="L119" s="107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 ht="11.2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7"/>
      <c r="L120" s="107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 ht="11.2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7"/>
      <c r="L121" s="107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 ht="11.2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7"/>
      <c r="L122" s="107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 ht="11.2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7"/>
      <c r="L123" s="107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 ht="11.2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7"/>
      <c r="L124" s="107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 ht="11.2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7"/>
      <c r="L125" s="107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 ht="11.2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7"/>
      <c r="L126" s="107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 ht="11.2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7"/>
      <c r="L127" s="107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 ht="11.2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7"/>
      <c r="L128" s="107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 ht="11.2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7"/>
      <c r="L129" s="107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 ht="11.2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7"/>
      <c r="L130" s="107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 ht="11.2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7"/>
      <c r="L131" s="107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 ht="11.2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7"/>
      <c r="L132" s="107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 ht="11.2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7"/>
      <c r="L133" s="107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 ht="11.2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7"/>
      <c r="L134" s="107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ht="11.2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7"/>
      <c r="L135" s="107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ht="11.2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7"/>
      <c r="L136" s="107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ht="11.2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7"/>
      <c r="L137" s="107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 ht="11.2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7"/>
      <c r="L138" s="107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ht="11.2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7"/>
      <c r="L139" s="107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ht="11.2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7"/>
      <c r="L140" s="107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ht="11.2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7"/>
      <c r="L141" s="107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ht="11.2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7"/>
      <c r="L142" s="107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ht="11.2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7"/>
      <c r="L143" s="107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ht="11.2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7"/>
      <c r="L144" s="107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ht="11.2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7"/>
      <c r="L145" s="107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 ht="11.2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7"/>
      <c r="L146" s="107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 ht="11.2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7"/>
      <c r="L147" s="107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 ht="11.2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7"/>
      <c r="L148" s="107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 ht="11.2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7"/>
      <c r="L149" s="107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 ht="11.2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7"/>
      <c r="L150" s="107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 ht="11.2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7"/>
      <c r="L151" s="107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 ht="11.2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7"/>
      <c r="L152" s="107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 ht="11.2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7"/>
      <c r="L153" s="107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 ht="11.2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7"/>
      <c r="L154" s="107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 ht="11.2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7"/>
      <c r="L155" s="107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 ht="11.2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7"/>
      <c r="L156" s="107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 ht="11.2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7"/>
      <c r="L157" s="107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 ht="11.2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7"/>
      <c r="L158" s="107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 ht="11.2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7"/>
      <c r="L159" s="107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 ht="11.2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7"/>
      <c r="L160" s="107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 ht="11.2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7"/>
      <c r="L161" s="107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 ht="11.2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7"/>
      <c r="L162" s="107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 ht="11.2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7"/>
      <c r="L163" s="107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 ht="11.2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7"/>
      <c r="L164" s="107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 ht="11.2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7"/>
      <c r="L165" s="107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 ht="11.2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7"/>
      <c r="L166" s="107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 ht="11.2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7"/>
      <c r="L167" s="107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 ht="11.2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7"/>
      <c r="L168" s="107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 ht="11.2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7"/>
      <c r="L169" s="107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 ht="11.2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7"/>
      <c r="L170" s="107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 ht="11.2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7"/>
      <c r="L171" s="107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 ht="11.2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7"/>
      <c r="L172" s="107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 ht="11.2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7"/>
      <c r="L173" s="107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 ht="11.2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7"/>
      <c r="L174" s="107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 ht="11.2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7"/>
      <c r="L175" s="107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 ht="11.2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7"/>
      <c r="L176" s="107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 ht="11.2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7"/>
      <c r="L177" s="107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 ht="11.2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7"/>
      <c r="L178" s="107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 ht="11.2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7"/>
      <c r="L179" s="107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 ht="11.2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7"/>
      <c r="L180" s="107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 ht="11.2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7"/>
      <c r="L181" s="107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 ht="11.2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7"/>
      <c r="L182" s="107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 ht="11.2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7"/>
      <c r="L183" s="107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 ht="11.2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7"/>
      <c r="L184" s="107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 ht="11.2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7"/>
      <c r="L185" s="107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 ht="11.2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7"/>
      <c r="L186" s="107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 ht="11.2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7"/>
      <c r="L187" s="107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 ht="11.2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7"/>
      <c r="L188" s="107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 ht="11.2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7"/>
      <c r="L189" s="107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 ht="11.2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7"/>
      <c r="L190" s="107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ht="11.2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7"/>
      <c r="L191" s="107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 ht="11.2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7"/>
      <c r="L192" s="107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 ht="11.2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7"/>
      <c r="L193" s="107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ht="11.2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7"/>
      <c r="L194" s="107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 ht="11.2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7"/>
      <c r="L195" s="107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ht="11.2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7"/>
      <c r="L196" s="107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 ht="11.2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7"/>
      <c r="L197" s="107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 ht="11.2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7"/>
      <c r="L198" s="107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 ht="11.2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7"/>
      <c r="L199" s="107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 ht="11.2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7"/>
      <c r="L200" s="107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 ht="11.2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7"/>
      <c r="L201" s="107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 ht="11.2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7"/>
      <c r="L202" s="107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 ht="11.2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7"/>
      <c r="L203" s="107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 ht="11.2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7"/>
      <c r="L204" s="107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 ht="11.2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7"/>
      <c r="L205" s="107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 ht="11.2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7"/>
      <c r="L206" s="107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 ht="11.2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7"/>
      <c r="L207" s="107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 ht="11.2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7"/>
      <c r="L208" s="107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ht="11.2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7"/>
      <c r="L209" s="107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ht="11.2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7"/>
      <c r="L210" s="107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 ht="11.2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7"/>
      <c r="L211" s="107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 ht="11.2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7"/>
      <c r="L212" s="107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 ht="11.2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7"/>
      <c r="L213" s="107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 ht="11.2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7"/>
      <c r="L214" s="107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 ht="11.2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7"/>
      <c r="L215" s="107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 ht="11.2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7"/>
      <c r="L216" s="107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 ht="11.2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7"/>
      <c r="L217" s="107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 ht="11.2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7"/>
      <c r="L218" s="107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 ht="11.2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7"/>
      <c r="L219" s="107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 ht="11.2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7"/>
      <c r="L220" s="107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 ht="11.2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7"/>
      <c r="L221" s="107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 ht="11.2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7"/>
      <c r="L222" s="107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 ht="11.2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7"/>
      <c r="L223" s="107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 ht="11.2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7"/>
      <c r="L224" s="107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 ht="11.2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7"/>
      <c r="L225" s="107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 ht="11.2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7"/>
      <c r="L226" s="107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 ht="11.2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7"/>
      <c r="L227" s="107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 ht="11.2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7"/>
      <c r="L228" s="107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 ht="11.2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7"/>
      <c r="L229" s="107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 ht="11.2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7"/>
      <c r="L230" s="107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 ht="11.2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7"/>
      <c r="L231" s="107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 ht="11.2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7"/>
      <c r="L232" s="107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 ht="11.2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7"/>
      <c r="L233" s="107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 ht="11.2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7"/>
      <c r="L234" s="107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 ht="11.2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7"/>
      <c r="L235" s="107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 ht="11.2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7"/>
      <c r="L236" s="107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 ht="11.2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7"/>
      <c r="L237" s="107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 ht="11.2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7"/>
      <c r="L238" s="107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 ht="11.2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7"/>
      <c r="L239" s="107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 ht="11.2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7"/>
      <c r="L240" s="107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 ht="11.2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7"/>
      <c r="L241" s="107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 ht="11.2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7"/>
      <c r="L242" s="107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 ht="11.2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7"/>
      <c r="L243" s="107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 ht="11.2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7"/>
      <c r="L244" s="107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 ht="11.2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7"/>
      <c r="L245" s="107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 ht="11.2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7"/>
      <c r="L246" s="107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 ht="11.2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7"/>
      <c r="L247" s="107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 ht="11.2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7"/>
      <c r="L248" s="107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 ht="11.2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7"/>
      <c r="L249" s="107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 ht="11.2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7"/>
      <c r="L250" s="107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 ht="11.2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7"/>
      <c r="L251" s="107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 ht="11.2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7"/>
      <c r="L252" s="107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 ht="11.2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7"/>
      <c r="L253" s="107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 ht="11.2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7"/>
      <c r="L254" s="107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 ht="11.2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7"/>
      <c r="L255" s="107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 ht="11.2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7"/>
      <c r="L256" s="107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 ht="11.2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7"/>
      <c r="L257" s="107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 ht="11.2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7"/>
      <c r="L258" s="107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 ht="11.2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7"/>
      <c r="L259" s="107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 ht="11.2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7"/>
      <c r="L260" s="107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 ht="11.2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7"/>
      <c r="L261" s="107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 ht="11.2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7"/>
      <c r="L262" s="107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 ht="11.2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7"/>
      <c r="L263" s="107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 ht="11.2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7"/>
      <c r="L264" s="107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 ht="11.2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7"/>
      <c r="L265" s="107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 ht="11.2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7"/>
      <c r="L266" s="107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 ht="11.2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7"/>
      <c r="L267" s="107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 ht="11.2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7"/>
      <c r="L268" s="107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 ht="11.2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7"/>
      <c r="L269" s="107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 ht="11.2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7"/>
      <c r="L270" s="107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 ht="11.2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7"/>
      <c r="L271" s="107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 ht="11.2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7"/>
      <c r="L272" s="107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 ht="11.2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7"/>
      <c r="L273" s="107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 ht="11.2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7"/>
      <c r="L274" s="107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 ht="11.2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7"/>
      <c r="L275" s="107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 ht="11.2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7"/>
      <c r="L276" s="107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 ht="11.2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7"/>
      <c r="L277" s="107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 ht="11.2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7"/>
      <c r="L278" s="107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 ht="11.2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7"/>
      <c r="L279" s="107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 ht="11.2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7"/>
      <c r="L280" s="107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 ht="11.2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7"/>
      <c r="L281" s="107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 ht="11.2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7"/>
      <c r="L282" s="107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 ht="11.2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7"/>
      <c r="L283" s="107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 ht="11.2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7"/>
      <c r="L284" s="107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 ht="11.2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7"/>
      <c r="L285" s="107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 ht="11.2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7"/>
      <c r="L286" s="107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 ht="11.2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7"/>
      <c r="L287" s="107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 ht="11.2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7"/>
      <c r="L288" s="107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 ht="11.2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7"/>
      <c r="L289" s="107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 ht="11.2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7"/>
      <c r="L290" s="107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 ht="11.2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7"/>
      <c r="L291" s="107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 ht="11.2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7"/>
      <c r="L292" s="107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 ht="11.2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7"/>
      <c r="L293" s="107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 ht="11.2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7"/>
      <c r="L294" s="107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 ht="11.2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7"/>
      <c r="L295" s="107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 ht="11.2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7"/>
      <c r="L296" s="107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 ht="11.2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7"/>
      <c r="L297" s="107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 ht="11.2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7"/>
      <c r="L298" s="107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 ht="11.2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7"/>
      <c r="L299" s="107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 ht="11.2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7"/>
      <c r="L300" s="107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 ht="11.2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7"/>
      <c r="L301" s="107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 ht="11.2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7"/>
      <c r="L302" s="107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 ht="11.2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7"/>
      <c r="L303" s="107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 ht="11.2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7"/>
      <c r="L304" s="107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 ht="11.2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7"/>
      <c r="L305" s="107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 ht="11.2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7"/>
      <c r="L306" s="107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 ht="11.2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7"/>
      <c r="L307" s="107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 ht="11.2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7"/>
      <c r="L308" s="107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 ht="11.2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7"/>
      <c r="L309" s="107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 ht="11.2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7"/>
      <c r="L310" s="107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ht="11.2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7"/>
      <c r="L311" s="107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 ht="11.2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7"/>
      <c r="L312" s="107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 ht="11.2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7"/>
      <c r="L313" s="107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 ht="11.2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7"/>
      <c r="L314" s="107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 ht="11.2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7"/>
      <c r="L315" s="107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 ht="11.2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7"/>
      <c r="L316" s="107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 ht="11.2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7"/>
      <c r="L317" s="107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 ht="11.2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7"/>
      <c r="L318" s="107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 ht="11.2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7"/>
      <c r="L319" s="107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 ht="11.2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7"/>
      <c r="L320" s="107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 ht="11.2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7"/>
      <c r="L321" s="107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 ht="11.2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7"/>
      <c r="L322" s="107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 ht="11.2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7"/>
      <c r="L323" s="107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 ht="11.2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7"/>
      <c r="L324" s="107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 ht="11.2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7"/>
      <c r="L325" s="107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 ht="11.2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7"/>
      <c r="L326" s="107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 ht="11.2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7"/>
      <c r="L327" s="107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 ht="11.2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7"/>
      <c r="L328" s="107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 ht="11.2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7"/>
      <c r="L329" s="107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 ht="11.2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7"/>
      <c r="L330" s="107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 ht="11.2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7"/>
      <c r="L331" s="107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 ht="11.2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7"/>
      <c r="L332" s="107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 ht="11.2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7"/>
      <c r="L333" s="107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 ht="11.2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7"/>
      <c r="L334" s="107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 ht="11.2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7"/>
      <c r="L335" s="107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 ht="11.2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7"/>
      <c r="L336" s="107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 ht="11.2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7"/>
      <c r="L337" s="107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 ht="11.2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7"/>
      <c r="L338" s="107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 ht="11.2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7"/>
      <c r="L339" s="107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 ht="11.2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7"/>
      <c r="L340" s="107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 ht="11.2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7"/>
      <c r="L341" s="107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 ht="11.2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7"/>
      <c r="L342" s="107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 ht="11.2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7"/>
      <c r="L343" s="107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 ht="11.2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7"/>
      <c r="L344" s="107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 ht="11.2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7"/>
      <c r="L345" s="107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 ht="11.2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7"/>
      <c r="L346" s="107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 ht="11.2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7"/>
      <c r="L347" s="107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 ht="11.2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7"/>
      <c r="L348" s="107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 ht="11.2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7"/>
      <c r="L349" s="107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 ht="11.2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7"/>
      <c r="L350" s="107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 ht="11.2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7"/>
      <c r="L351" s="107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 ht="11.2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7"/>
      <c r="L352" s="107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 ht="11.2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7"/>
      <c r="L353" s="107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 ht="11.2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7"/>
      <c r="L354" s="107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 ht="11.2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7"/>
      <c r="L355" s="107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 ht="11.2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7"/>
      <c r="L356" s="107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 ht="11.2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7"/>
      <c r="L357" s="107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 ht="11.2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7"/>
      <c r="L358" s="107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 ht="11.2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7"/>
      <c r="L359" s="107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 ht="11.2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7"/>
      <c r="L360" s="107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 ht="11.2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7"/>
      <c r="L361" s="107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 ht="11.2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7"/>
      <c r="L362" s="107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 ht="11.2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7"/>
      <c r="L363" s="107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 ht="11.2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7"/>
      <c r="L364" s="107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 ht="11.2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7"/>
      <c r="L365" s="107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 ht="11.2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7"/>
      <c r="L366" s="107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 ht="11.2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7"/>
      <c r="L367" s="107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 ht="11.2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7"/>
      <c r="L368" s="107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 ht="11.2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7"/>
      <c r="L369" s="107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 ht="11.2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7"/>
      <c r="L370" s="107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 ht="11.2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7"/>
      <c r="L371" s="107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 ht="11.2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7"/>
      <c r="L372" s="107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 ht="11.2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7"/>
      <c r="L373" s="107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 ht="11.2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7"/>
      <c r="L374" s="107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 ht="11.2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7"/>
      <c r="L375" s="107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 ht="11.2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7"/>
      <c r="L376" s="107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 ht="11.2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7"/>
      <c r="L377" s="107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 ht="11.2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7"/>
      <c r="L378" s="107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 ht="11.2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7"/>
      <c r="L379" s="107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 ht="11.2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7"/>
      <c r="L380" s="107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 ht="11.2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7"/>
      <c r="L381" s="107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 ht="11.2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7"/>
      <c r="L382" s="107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 ht="11.2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7"/>
      <c r="L383" s="107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 ht="11.2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7"/>
      <c r="L384" s="107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 ht="11.2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7"/>
      <c r="L385" s="107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 ht="11.2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7"/>
      <c r="L386" s="107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 ht="11.2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7"/>
      <c r="L387" s="107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 ht="11.2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7"/>
      <c r="L388" s="107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 ht="11.2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7"/>
      <c r="L389" s="107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 ht="11.2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7"/>
      <c r="L390" s="107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 ht="11.2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7"/>
      <c r="L391" s="107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 ht="11.2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7"/>
      <c r="L392" s="107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 ht="11.2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7"/>
      <c r="L393" s="107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 ht="11.2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7"/>
      <c r="L394" s="107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 ht="11.2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7"/>
      <c r="L395" s="107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 ht="11.2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7"/>
      <c r="L396" s="107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 ht="11.2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7"/>
      <c r="L397" s="107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 ht="11.2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7"/>
      <c r="L398" s="107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 ht="11.2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7"/>
      <c r="L399" s="107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 ht="11.2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7"/>
      <c r="L400" s="107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 ht="11.2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7"/>
      <c r="L401" s="107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 ht="11.2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7"/>
      <c r="L402" s="107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 ht="11.2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7"/>
      <c r="L403" s="107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 ht="11.2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7"/>
      <c r="L404" s="107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 ht="11.2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7"/>
      <c r="L405" s="107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 ht="11.2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7"/>
      <c r="L406" s="107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 ht="11.2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7"/>
      <c r="L407" s="107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 ht="11.2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7"/>
      <c r="L408" s="107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 ht="11.2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7"/>
      <c r="L409" s="107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 ht="11.2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7"/>
      <c r="L410" s="107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 ht="11.2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7"/>
      <c r="L411" s="107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 ht="11.2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7"/>
      <c r="L412" s="107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 ht="11.2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7"/>
      <c r="L413" s="107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 ht="11.2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7"/>
      <c r="L414" s="107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 ht="11.2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7"/>
      <c r="L415" s="107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 ht="11.2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7"/>
      <c r="L416" s="107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 ht="11.2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7"/>
      <c r="L417" s="107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 ht="11.2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7"/>
      <c r="L418" s="107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 ht="11.2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7"/>
      <c r="L419" s="107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 ht="11.2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7"/>
      <c r="L420" s="107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 ht="11.2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7"/>
      <c r="L421" s="107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 ht="11.2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7"/>
      <c r="L422" s="107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 ht="11.2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7"/>
      <c r="L423" s="107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 ht="11.2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7"/>
      <c r="L424" s="107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 ht="11.2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7"/>
      <c r="L425" s="107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 ht="11.2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7"/>
      <c r="L426" s="107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 ht="11.2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7"/>
      <c r="L427" s="107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 ht="11.2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7"/>
      <c r="L428" s="107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 ht="11.2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7"/>
      <c r="L429" s="107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 ht="11.2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7"/>
      <c r="L430" s="107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 ht="11.2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7"/>
      <c r="L431" s="107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 ht="11.2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7"/>
      <c r="L432" s="107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 ht="11.2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7"/>
      <c r="L433" s="107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 ht="11.2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7"/>
      <c r="L434" s="107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 ht="11.2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7"/>
      <c r="L435" s="107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 ht="11.2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7"/>
      <c r="L436" s="107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 ht="11.2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7"/>
      <c r="L437" s="107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 ht="11.2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7"/>
      <c r="L438" s="107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 ht="11.2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7"/>
      <c r="L439" s="107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 ht="11.2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7"/>
      <c r="L440" s="107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 ht="11.2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7"/>
      <c r="L441" s="107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 ht="11.2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7"/>
      <c r="L442" s="107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 ht="11.2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7"/>
      <c r="L443" s="107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 ht="11.2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7"/>
      <c r="L444" s="107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 ht="11.2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7"/>
      <c r="L445" s="107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 ht="11.2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7"/>
      <c r="L446" s="107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 ht="11.2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7"/>
      <c r="L447" s="107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 ht="11.2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7"/>
      <c r="L448" s="107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 ht="11.2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7"/>
      <c r="L449" s="107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 ht="11.2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7"/>
      <c r="L450" s="107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 ht="11.2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7"/>
      <c r="L451" s="107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 ht="11.2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7"/>
      <c r="L452" s="107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 ht="11.2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7"/>
      <c r="L453" s="107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 ht="11.2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7"/>
      <c r="L454" s="107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 ht="11.2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7"/>
      <c r="L455" s="107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 ht="11.2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7"/>
      <c r="L456" s="107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 ht="11.2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7"/>
      <c r="L457" s="107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 ht="11.2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7"/>
      <c r="L458" s="107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 ht="11.2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7"/>
      <c r="L459" s="107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 ht="11.2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7"/>
      <c r="L460" s="107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 ht="11.2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7"/>
      <c r="L461" s="107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 ht="11.2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7"/>
      <c r="L462" s="107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 ht="11.2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7"/>
      <c r="L463" s="107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 ht="11.2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7"/>
      <c r="L464" s="107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 ht="11.2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7"/>
      <c r="L465" s="107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 ht="11.2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7"/>
      <c r="L466" s="107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 ht="11.2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7"/>
      <c r="L467" s="107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 ht="11.2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7"/>
      <c r="L468" s="107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 ht="11.2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7"/>
      <c r="L469" s="107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 ht="11.2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7"/>
      <c r="L470" s="107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 ht="11.2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7"/>
      <c r="L471" s="107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 ht="11.2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7"/>
      <c r="L472" s="107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 ht="11.2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7"/>
      <c r="L473" s="107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 ht="11.2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7"/>
      <c r="L474" s="107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 ht="11.2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7"/>
      <c r="L475" s="107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 ht="11.2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7"/>
      <c r="L476" s="107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 ht="11.2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7"/>
      <c r="L477" s="107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 ht="11.2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7"/>
      <c r="L478" s="107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 ht="11.2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7"/>
      <c r="L479" s="107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 ht="11.2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7"/>
      <c r="L480" s="107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 ht="11.2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7"/>
      <c r="L481" s="107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 ht="11.2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7"/>
      <c r="L482" s="107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 ht="11.2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7"/>
      <c r="L483" s="107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 ht="11.2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7"/>
      <c r="L484" s="107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 ht="11.2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7"/>
      <c r="L485" s="107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 ht="11.2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7"/>
      <c r="L486" s="107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 ht="11.2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7"/>
      <c r="L487" s="107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 ht="11.2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7"/>
      <c r="L488" s="107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 ht="11.2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7"/>
      <c r="L489" s="107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 ht="11.2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7"/>
      <c r="L490" s="107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 ht="11.2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7"/>
      <c r="L491" s="107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 ht="11.2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7"/>
      <c r="L492" s="107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 ht="11.2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7"/>
      <c r="L493" s="107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 ht="11.2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7"/>
      <c r="L494" s="107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 ht="11.2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7"/>
      <c r="L495" s="107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 ht="11.2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7"/>
      <c r="L496" s="107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 ht="11.2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7"/>
      <c r="L497" s="107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 ht="11.2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7"/>
      <c r="L498" s="107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 ht="11.2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7"/>
      <c r="L499" s="107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 ht="11.2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7"/>
      <c r="L500" s="107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 ht="11.2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7"/>
      <c r="L501" s="107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 ht="11.2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7"/>
      <c r="L502" s="107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 ht="11.2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7"/>
      <c r="L503" s="107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 ht="11.2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7"/>
      <c r="L504" s="107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 ht="11.2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7"/>
      <c r="L505" s="107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 ht="11.2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7"/>
      <c r="L506" s="107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 ht="11.2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7"/>
      <c r="L507" s="107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 ht="11.2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7"/>
      <c r="L508" s="107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 ht="11.2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7"/>
      <c r="L509" s="107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 ht="11.2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7"/>
      <c r="L510" s="107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 ht="11.2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7"/>
      <c r="L511" s="107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 ht="11.2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7"/>
      <c r="L512" s="107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 ht="11.2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7"/>
      <c r="L513" s="107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 ht="11.2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7"/>
      <c r="L514" s="107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 ht="11.2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7"/>
      <c r="L515" s="107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 ht="11.2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7"/>
      <c r="L516" s="107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 ht="11.2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7"/>
      <c r="L517" s="107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 ht="11.2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7"/>
      <c r="L518" s="107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 ht="11.2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7"/>
      <c r="L519" s="107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 ht="11.2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7"/>
      <c r="L520" s="107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 ht="11.2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7"/>
      <c r="L521" s="107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 ht="11.2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7"/>
      <c r="L522" s="107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 ht="11.2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7"/>
      <c r="L523" s="107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 ht="11.2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7"/>
      <c r="L524" s="107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 ht="11.2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7"/>
      <c r="L525" s="107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 ht="11.2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7"/>
      <c r="L526" s="107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 ht="11.2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7"/>
      <c r="L527" s="107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 ht="11.2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7"/>
      <c r="L528" s="107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 ht="11.2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7"/>
      <c r="L529" s="107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 ht="11.2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7"/>
      <c r="L530" s="107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 ht="11.2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7"/>
      <c r="L531" s="107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 ht="11.2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7"/>
      <c r="L532" s="107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 ht="11.2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7"/>
      <c r="L533" s="107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 ht="11.2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7"/>
      <c r="L534" s="107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 ht="11.2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7"/>
      <c r="L535" s="107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 ht="11.2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7"/>
      <c r="L536" s="107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 ht="11.2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7"/>
      <c r="L537" s="107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 ht="11.2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7"/>
      <c r="L538" s="107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 ht="11.2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7"/>
      <c r="L539" s="107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 ht="11.2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7"/>
      <c r="L540" s="107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 ht="11.2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7"/>
      <c r="L541" s="107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 ht="11.2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7"/>
      <c r="L542" s="107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 ht="11.2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7"/>
      <c r="L543" s="107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 ht="11.2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7"/>
      <c r="L544" s="107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 ht="11.2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7"/>
      <c r="L545" s="107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 ht="11.2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7"/>
      <c r="L546" s="107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 ht="11.2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7"/>
      <c r="L547" s="107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 ht="11.2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7"/>
      <c r="L548" s="107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 ht="11.2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7"/>
      <c r="L549" s="107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 ht="11.2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7"/>
      <c r="L550" s="107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 ht="11.2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7"/>
      <c r="L551" s="107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 ht="11.2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7"/>
      <c r="L552" s="107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 ht="11.2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7"/>
      <c r="L553" s="107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 ht="11.2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7"/>
      <c r="L554" s="107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 ht="11.2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7"/>
      <c r="L555" s="107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 ht="11.2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7"/>
      <c r="L556" s="107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 ht="11.2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7"/>
      <c r="L557" s="107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 ht="11.2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7"/>
      <c r="L558" s="107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 ht="11.2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7"/>
      <c r="L559" s="107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 ht="11.2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7"/>
      <c r="L560" s="107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 ht="11.2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7"/>
      <c r="L561" s="107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 ht="11.2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7"/>
      <c r="L562" s="107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 ht="11.2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7"/>
      <c r="L563" s="107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 ht="11.2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7"/>
      <c r="L564" s="107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 ht="11.2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7"/>
      <c r="L565" s="107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 ht="11.2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7"/>
      <c r="L566" s="107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 ht="11.2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7"/>
      <c r="L567" s="107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 ht="11.2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7"/>
      <c r="L568" s="107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 ht="11.2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7"/>
      <c r="L569" s="107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 ht="11.2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7"/>
      <c r="L570" s="107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 ht="11.2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7"/>
      <c r="L571" s="107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 ht="11.2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7"/>
      <c r="L572" s="107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 ht="11.2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7"/>
      <c r="L573" s="107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 ht="11.2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7"/>
      <c r="L574" s="107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 ht="11.2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7"/>
      <c r="L575" s="107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 ht="11.2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7"/>
      <c r="L576" s="107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 ht="11.2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7"/>
      <c r="L577" s="107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 ht="11.2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7"/>
      <c r="L578" s="107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 ht="11.2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7"/>
      <c r="L579" s="107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 ht="11.2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7"/>
      <c r="L580" s="107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 ht="11.2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7"/>
      <c r="L581" s="107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 ht="11.2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7"/>
      <c r="L582" s="107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 ht="11.2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7"/>
      <c r="L583" s="107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 ht="11.2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7"/>
      <c r="L584" s="107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 ht="11.2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7"/>
      <c r="L585" s="107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 ht="11.2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7"/>
      <c r="L586" s="107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 ht="11.2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7"/>
      <c r="L587" s="107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 ht="11.2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7"/>
      <c r="L588" s="107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 ht="11.2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7"/>
      <c r="L589" s="107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 ht="11.2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7"/>
      <c r="L590" s="107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 ht="11.2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7"/>
      <c r="L591" s="107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 ht="11.2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7"/>
      <c r="L592" s="107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 ht="11.2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7"/>
      <c r="L593" s="107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 ht="11.2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7"/>
      <c r="L594" s="107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 ht="11.2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7"/>
      <c r="L595" s="107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 ht="11.2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7"/>
      <c r="L596" s="107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 ht="11.2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7"/>
      <c r="L597" s="107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 ht="11.2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7"/>
      <c r="L598" s="107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 ht="11.2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7"/>
      <c r="L599" s="107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 ht="11.2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7"/>
      <c r="L600" s="107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 ht="11.2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7"/>
      <c r="L601" s="107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 ht="11.2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7"/>
      <c r="L602" s="107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 ht="11.2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7"/>
      <c r="L603" s="107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 ht="11.2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7"/>
      <c r="L604" s="107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 ht="11.2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7"/>
      <c r="L605" s="107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 ht="11.2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7"/>
      <c r="L606" s="107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 ht="11.2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7"/>
      <c r="L607" s="107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 ht="11.2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7"/>
      <c r="L608" s="107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 ht="11.2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7"/>
      <c r="L609" s="107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 ht="11.2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7"/>
      <c r="L610" s="107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 ht="11.2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7"/>
      <c r="L611" s="107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 ht="11.2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7"/>
      <c r="L612" s="107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 ht="11.2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7"/>
      <c r="L613" s="107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 ht="11.2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7"/>
      <c r="L614" s="107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 ht="11.2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7"/>
      <c r="L615" s="107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 ht="11.2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7"/>
      <c r="L616" s="107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 ht="11.2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7"/>
      <c r="L617" s="107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 ht="11.2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7"/>
      <c r="L618" s="107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 ht="11.2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7"/>
      <c r="L619" s="107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 ht="11.2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7"/>
      <c r="L620" s="107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 ht="11.2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7"/>
      <c r="L621" s="107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 ht="11.2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7"/>
      <c r="L622" s="107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 ht="11.2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7"/>
      <c r="L623" s="107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 ht="11.2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7"/>
      <c r="L624" s="107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 ht="11.2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7"/>
      <c r="L625" s="107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 ht="11.2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7"/>
      <c r="L626" s="107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 ht="11.2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7"/>
      <c r="L627" s="107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 ht="11.2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7"/>
      <c r="L628" s="107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 ht="11.2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7"/>
      <c r="L629" s="107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 ht="11.2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7"/>
      <c r="L630" s="107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 ht="11.2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7"/>
      <c r="L631" s="107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 ht="11.2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7"/>
      <c r="L632" s="107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 ht="11.2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7"/>
      <c r="L633" s="107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 ht="11.2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7"/>
      <c r="L634" s="107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 ht="11.2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7"/>
      <c r="L635" s="107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 ht="11.2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7"/>
      <c r="L636" s="107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 ht="11.2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7"/>
      <c r="L637" s="107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 ht="11.2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7"/>
      <c r="L638" s="107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 ht="11.2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7"/>
      <c r="L639" s="107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 ht="11.2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7"/>
      <c r="L640" s="107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 ht="11.2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7"/>
      <c r="L641" s="107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 ht="11.2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7"/>
      <c r="L642" s="107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 ht="11.2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7"/>
      <c r="L643" s="107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 ht="11.2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7"/>
      <c r="L644" s="107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 ht="11.2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7"/>
      <c r="L645" s="107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 ht="11.2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7"/>
      <c r="L646" s="107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 ht="11.2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7"/>
      <c r="L647" s="107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 ht="11.2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7"/>
      <c r="L648" s="107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 ht="11.2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7"/>
      <c r="L649" s="107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 ht="11.2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7"/>
      <c r="L650" s="107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 ht="11.2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7"/>
      <c r="L651" s="107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 ht="11.2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7"/>
      <c r="L652" s="107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 ht="11.2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7"/>
      <c r="L653" s="107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 ht="11.2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7"/>
      <c r="L654" s="107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 ht="11.2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7"/>
      <c r="L655" s="107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 ht="11.2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7"/>
      <c r="L656" s="107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 ht="11.2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7"/>
      <c r="L657" s="107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 ht="11.2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7"/>
      <c r="L658" s="107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 ht="11.2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7"/>
      <c r="L659" s="107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 ht="11.2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7"/>
      <c r="L660" s="107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 ht="11.2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7"/>
      <c r="L661" s="107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 ht="11.2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7"/>
      <c r="L662" s="107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 ht="11.2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7"/>
      <c r="L663" s="107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 ht="11.2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7"/>
      <c r="L664" s="107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 ht="11.2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7"/>
      <c r="L665" s="107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 ht="11.2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7"/>
      <c r="L666" s="107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 ht="11.2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7"/>
      <c r="L667" s="107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 ht="11.2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7"/>
      <c r="L668" s="107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 ht="11.2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7"/>
      <c r="L669" s="107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 ht="11.2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7"/>
      <c r="L670" s="107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 ht="11.2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7"/>
      <c r="L671" s="107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 ht="11.2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7"/>
      <c r="L672" s="107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 ht="11.2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7"/>
      <c r="L673" s="107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 ht="11.2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7"/>
      <c r="L674" s="107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 ht="11.2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7"/>
      <c r="L675" s="107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 ht="11.2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7"/>
      <c r="L676" s="107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 ht="11.2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7"/>
      <c r="L677" s="107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 ht="11.2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7"/>
      <c r="L678" s="107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 ht="11.2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7"/>
      <c r="L679" s="107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 ht="11.2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7"/>
      <c r="L680" s="107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 ht="11.2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7"/>
      <c r="L681" s="107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 ht="11.2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7"/>
      <c r="L682" s="107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 ht="11.2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7"/>
      <c r="L683" s="107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 ht="11.2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7"/>
      <c r="L684" s="107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 ht="11.2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7"/>
      <c r="L685" s="107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 ht="11.2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7"/>
      <c r="L686" s="107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 ht="11.2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7"/>
      <c r="L687" s="107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 ht="11.2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7"/>
      <c r="L688" s="107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 ht="11.2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7"/>
      <c r="L689" s="107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 ht="11.2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7"/>
      <c r="L690" s="107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 ht="11.2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7"/>
      <c r="L691" s="107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 ht="11.2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7"/>
      <c r="L692" s="107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 ht="11.2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7"/>
      <c r="L693" s="107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 ht="11.2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7"/>
      <c r="L694" s="107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 ht="11.2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7"/>
      <c r="L695" s="107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 ht="11.2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7"/>
      <c r="L696" s="107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 ht="11.2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7"/>
      <c r="L697" s="107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 ht="11.2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7"/>
      <c r="L698" s="107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 ht="11.2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7"/>
      <c r="L699" s="107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 ht="11.2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7"/>
      <c r="L700" s="107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 ht="11.2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7"/>
      <c r="L701" s="107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 ht="11.2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7"/>
      <c r="L702" s="107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 ht="11.2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7"/>
      <c r="L703" s="107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 ht="11.2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7"/>
      <c r="L704" s="107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 ht="11.2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7"/>
      <c r="L705" s="107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 ht="11.2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7"/>
      <c r="L706" s="107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 ht="11.2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7"/>
      <c r="L707" s="107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 ht="11.2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7"/>
      <c r="L708" s="107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 ht="11.2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7"/>
      <c r="L709" s="107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 ht="11.2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7"/>
      <c r="L710" s="107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 ht="11.2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7"/>
      <c r="L711" s="107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 ht="11.2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7"/>
      <c r="L712" s="107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 ht="11.2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7"/>
      <c r="L713" s="107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 ht="11.2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7"/>
      <c r="L714" s="107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 ht="11.2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7"/>
      <c r="L715" s="107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 ht="11.2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7"/>
      <c r="L716" s="107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 ht="11.2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7"/>
      <c r="L717" s="107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 ht="11.2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7"/>
      <c r="L718" s="107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 ht="11.2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7"/>
      <c r="L719" s="107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 ht="11.2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7"/>
      <c r="L720" s="107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 ht="11.2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7"/>
      <c r="L721" s="107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 ht="11.2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7"/>
      <c r="L722" s="107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 ht="11.2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7"/>
      <c r="L723" s="107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 ht="11.2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7"/>
      <c r="L724" s="107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 ht="11.2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7"/>
      <c r="L725" s="107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 ht="11.2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7"/>
      <c r="L726" s="107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 ht="11.2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7"/>
      <c r="L727" s="107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 ht="11.2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7"/>
      <c r="L728" s="107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 ht="11.2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7"/>
      <c r="L729" s="107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 ht="11.2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7"/>
      <c r="L730" s="107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 ht="11.2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7"/>
      <c r="L731" s="107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 ht="11.2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7"/>
      <c r="L732" s="107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 ht="11.2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7"/>
      <c r="L733" s="107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 ht="11.2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7"/>
      <c r="L734" s="107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 ht="11.2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7"/>
      <c r="L735" s="107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 ht="11.2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7"/>
      <c r="L736" s="107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 ht="11.2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7"/>
      <c r="L737" s="107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 ht="11.2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7"/>
      <c r="L738" s="107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 ht="11.2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7"/>
      <c r="L739" s="107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 ht="11.2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7"/>
      <c r="L740" s="107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 ht="11.2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7"/>
      <c r="L741" s="107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 ht="11.2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7"/>
      <c r="L742" s="107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 ht="11.2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7"/>
      <c r="L743" s="107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 ht="11.2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7"/>
      <c r="L744" s="107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 ht="11.2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7"/>
      <c r="L745" s="107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 ht="11.2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7"/>
      <c r="L746" s="107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 ht="11.2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7"/>
      <c r="L747" s="107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 ht="11.2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7"/>
      <c r="L748" s="107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 ht="11.2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7"/>
      <c r="L749" s="107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 ht="11.2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7"/>
      <c r="L750" s="107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 ht="11.2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7"/>
      <c r="L751" s="107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 ht="11.2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7"/>
      <c r="L752" s="107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 ht="11.2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7"/>
      <c r="L753" s="107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 ht="11.2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7"/>
      <c r="L754" s="107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 ht="11.2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7"/>
      <c r="L755" s="107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 ht="11.2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7"/>
      <c r="L756" s="107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 ht="11.2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7"/>
      <c r="L757" s="107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 ht="11.2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7"/>
      <c r="L758" s="107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 ht="11.2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7"/>
      <c r="L759" s="107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 ht="11.2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7"/>
      <c r="L760" s="107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 ht="11.2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7"/>
      <c r="L761" s="107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 ht="11.2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7"/>
      <c r="L762" s="107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 ht="11.2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7"/>
      <c r="L763" s="107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 ht="11.2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7"/>
      <c r="L764" s="107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 ht="11.2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7"/>
      <c r="L765" s="107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 ht="11.2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7"/>
      <c r="L766" s="107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 ht="11.2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7"/>
      <c r="L767" s="107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 ht="11.2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7"/>
      <c r="L768" s="107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 ht="11.2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7"/>
      <c r="L769" s="107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 ht="11.2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7"/>
      <c r="L770" s="107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 ht="11.2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7"/>
      <c r="L771" s="107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 ht="11.2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7"/>
      <c r="L772" s="107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 ht="11.2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7"/>
      <c r="L773" s="107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 ht="11.2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7"/>
      <c r="L774" s="107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 ht="11.2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7"/>
      <c r="L775" s="107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 ht="11.2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7"/>
      <c r="L776" s="107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 ht="11.2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7"/>
      <c r="L777" s="107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 ht="11.2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7"/>
      <c r="L778" s="107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 ht="11.2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7"/>
      <c r="L779" s="107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 ht="11.2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7"/>
      <c r="L780" s="107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 ht="11.2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7"/>
      <c r="L781" s="107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 ht="11.2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7"/>
      <c r="L782" s="107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 ht="11.2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7"/>
      <c r="L783" s="107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 ht="11.2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7"/>
      <c r="L784" s="107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 ht="11.2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7"/>
      <c r="L785" s="107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 ht="11.2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7"/>
      <c r="L786" s="107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 ht="11.2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7"/>
      <c r="L787" s="107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 ht="11.2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7"/>
      <c r="L788" s="107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 ht="11.2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7"/>
      <c r="L789" s="107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 ht="11.2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7"/>
      <c r="L790" s="107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 ht="11.2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7"/>
      <c r="L791" s="107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 ht="11.2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7"/>
      <c r="L792" s="107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 ht="11.2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7"/>
      <c r="L793" s="107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 ht="11.2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7"/>
      <c r="L794" s="107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 ht="11.2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7"/>
      <c r="L795" s="107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 ht="11.2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7"/>
      <c r="L796" s="107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 ht="11.2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7"/>
      <c r="L797" s="107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 ht="11.2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7"/>
      <c r="L798" s="107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 ht="11.2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7"/>
      <c r="L799" s="107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 ht="11.2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7"/>
      <c r="L800" s="107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 ht="11.2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7"/>
      <c r="L801" s="107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 ht="11.2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7"/>
      <c r="L802" s="107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 ht="11.2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7"/>
      <c r="L803" s="107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 ht="11.2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7"/>
      <c r="L804" s="107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 ht="11.2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7"/>
      <c r="L805" s="107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 ht="11.2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7"/>
      <c r="L806" s="107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 ht="11.2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7"/>
      <c r="L807" s="107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 ht="11.2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7"/>
      <c r="L808" s="107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 ht="11.2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7"/>
      <c r="L809" s="107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 ht="11.2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7"/>
      <c r="L810" s="107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 ht="11.2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7"/>
      <c r="L811" s="107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 ht="11.2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7"/>
      <c r="L812" s="107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 ht="11.2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7"/>
      <c r="L813" s="107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 ht="11.2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7"/>
      <c r="L814" s="107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 ht="11.2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7"/>
      <c r="L815" s="107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 ht="11.2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7"/>
      <c r="L816" s="107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 ht="11.2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7"/>
      <c r="L817" s="107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 ht="11.2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7"/>
      <c r="L818" s="107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 ht="11.2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7"/>
      <c r="L819" s="107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 ht="11.2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7"/>
      <c r="L820" s="107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 ht="11.2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7"/>
      <c r="L821" s="107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 ht="11.2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7"/>
      <c r="L822" s="107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 ht="11.2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7"/>
      <c r="L823" s="107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 ht="11.2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7"/>
      <c r="L824" s="107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 ht="11.2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7"/>
      <c r="L825" s="107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 ht="11.2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7"/>
      <c r="L826" s="107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 ht="11.2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7"/>
      <c r="L827" s="107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 ht="11.2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7"/>
      <c r="L828" s="107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 ht="11.2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7"/>
      <c r="L829" s="107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 ht="11.2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7"/>
      <c r="L830" s="107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 ht="11.2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7"/>
      <c r="L831" s="107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 ht="11.2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7"/>
      <c r="L832" s="107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 ht="11.2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7"/>
      <c r="L833" s="107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 ht="11.2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7"/>
      <c r="L834" s="107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 ht="11.2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7"/>
      <c r="L835" s="107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 ht="11.2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7"/>
      <c r="L836" s="107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 ht="11.2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7"/>
      <c r="L837" s="107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 ht="11.2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7"/>
      <c r="L838" s="107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 ht="11.2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7"/>
      <c r="L839" s="107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 ht="11.2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7"/>
      <c r="L840" s="107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 ht="11.2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7"/>
      <c r="L841" s="107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 ht="11.2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7"/>
      <c r="L842" s="107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 ht="11.2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7"/>
      <c r="L843" s="107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 ht="11.2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7"/>
      <c r="L844" s="107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 ht="11.2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7"/>
      <c r="L845" s="107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 ht="11.2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7"/>
      <c r="L846" s="107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 ht="11.2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7"/>
      <c r="L847" s="107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 ht="11.2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7"/>
      <c r="L848" s="107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 ht="11.2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7"/>
      <c r="L849" s="107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 ht="11.2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7"/>
      <c r="L850" s="107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 ht="11.2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7"/>
      <c r="L851" s="107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 ht="11.2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7"/>
      <c r="L852" s="107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 ht="11.2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7"/>
      <c r="L853" s="107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 ht="11.2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7"/>
      <c r="L854" s="107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 ht="11.2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7"/>
      <c r="L855" s="107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 ht="11.2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7"/>
      <c r="L856" s="107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 ht="11.2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7"/>
      <c r="L857" s="107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 ht="11.2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7"/>
      <c r="L858" s="107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 ht="11.2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7"/>
      <c r="L859" s="107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 ht="11.2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7"/>
      <c r="L860" s="107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 ht="11.2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7"/>
      <c r="L861" s="107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 ht="11.2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7"/>
      <c r="L862" s="107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 ht="11.2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7"/>
      <c r="L863" s="107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 ht="11.2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7"/>
      <c r="L864" s="107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 ht="11.2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7"/>
      <c r="L865" s="107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 ht="11.2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7"/>
      <c r="L866" s="107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 ht="11.2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7"/>
      <c r="L867" s="107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 ht="11.2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7"/>
      <c r="L868" s="107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 ht="11.2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7"/>
      <c r="L869" s="107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 ht="11.2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7"/>
      <c r="L870" s="107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 ht="11.2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7"/>
      <c r="L871" s="107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 ht="11.2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7"/>
      <c r="L872" s="107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 ht="11.2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7"/>
      <c r="L873" s="107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 ht="11.2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7"/>
      <c r="L874" s="107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 ht="11.2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7"/>
      <c r="L875" s="107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 ht="11.2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7"/>
      <c r="L876" s="107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 ht="11.2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7"/>
      <c r="L877" s="107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 ht="11.2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7"/>
      <c r="L878" s="107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 ht="11.2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7"/>
      <c r="L879" s="107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 ht="11.2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7"/>
      <c r="L880" s="107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 ht="11.2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7"/>
      <c r="L881" s="107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 ht="11.2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7"/>
      <c r="L882" s="107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 ht="11.2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7"/>
      <c r="L883" s="107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 ht="11.2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7"/>
      <c r="L884" s="107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 ht="11.2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7"/>
      <c r="L885" s="107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 ht="11.2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7"/>
      <c r="L886" s="107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 ht="11.2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7"/>
      <c r="L887" s="107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 ht="11.2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7"/>
      <c r="L888" s="107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 ht="11.2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7"/>
      <c r="L889" s="107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 ht="11.2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7"/>
      <c r="L890" s="107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 ht="11.2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7"/>
      <c r="L891" s="107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 ht="11.2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7"/>
      <c r="L892" s="107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 ht="11.2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7"/>
      <c r="L893" s="107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 ht="11.2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7"/>
      <c r="L894" s="107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 ht="11.2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7"/>
      <c r="L895" s="107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 ht="11.2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7"/>
      <c r="L896" s="107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 ht="11.2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7"/>
      <c r="L897" s="107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 ht="11.2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7"/>
      <c r="L898" s="107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 ht="11.2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7"/>
      <c r="L899" s="107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 ht="11.2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7"/>
      <c r="L900" s="107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 ht="11.2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7"/>
      <c r="L901" s="107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 ht="11.2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7"/>
      <c r="L902" s="107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 ht="11.2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7"/>
      <c r="L903" s="107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 ht="11.2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7"/>
      <c r="L904" s="107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 ht="11.2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7"/>
      <c r="L905" s="107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 ht="11.2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7"/>
      <c r="L906" s="107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 ht="11.2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7"/>
      <c r="L907" s="107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 ht="11.2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7"/>
      <c r="L908" s="107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 ht="11.2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7"/>
      <c r="L909" s="107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 ht="11.2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7"/>
      <c r="L910" s="107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 ht="11.2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7"/>
      <c r="L911" s="107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 ht="11.2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7"/>
      <c r="L912" s="107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 ht="11.2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7"/>
      <c r="L913" s="107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 ht="11.2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7"/>
      <c r="L914" s="107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 ht="11.2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7"/>
      <c r="L915" s="107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 ht="11.2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7"/>
      <c r="L916" s="107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 ht="11.2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7"/>
      <c r="L917" s="107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 ht="11.2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7"/>
      <c r="L918" s="107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 ht="11.2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7"/>
      <c r="L919" s="107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 ht="11.2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7"/>
      <c r="L920" s="107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 ht="11.2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7"/>
      <c r="L921" s="107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 ht="11.2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7"/>
      <c r="L922" s="107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 ht="11.2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7"/>
      <c r="L923" s="107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 ht="11.2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7"/>
      <c r="L924" s="107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 ht="11.2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7"/>
      <c r="L925" s="107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 ht="11.2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7"/>
      <c r="L926" s="107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 ht="11.2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7"/>
      <c r="L927" s="107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 ht="11.2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7"/>
      <c r="L928" s="107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 ht="11.2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7"/>
      <c r="L929" s="107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 ht="11.2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7"/>
      <c r="L930" s="107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 ht="11.2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7"/>
      <c r="L931" s="107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 ht="11.2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7"/>
      <c r="L932" s="107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 ht="11.2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7"/>
      <c r="L933" s="107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 ht="11.2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7"/>
      <c r="L934" s="107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 ht="11.2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7"/>
      <c r="L935" s="107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 ht="11.2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7"/>
      <c r="L936" s="107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 ht="11.2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7"/>
      <c r="L937" s="107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 ht="11.2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7"/>
      <c r="L938" s="107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 ht="11.2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7"/>
      <c r="L939" s="107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 ht="11.2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7"/>
      <c r="L940" s="107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 ht="11.2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7"/>
      <c r="L941" s="107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 ht="11.2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7"/>
      <c r="L942" s="107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 ht="11.2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7"/>
      <c r="L943" s="107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 ht="11.2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7"/>
      <c r="L944" s="107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 ht="11.2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7"/>
      <c r="L945" s="107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 ht="11.2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7"/>
      <c r="L946" s="107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 ht="11.2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7"/>
      <c r="L947" s="107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 ht="11.2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7"/>
      <c r="L948" s="107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 ht="11.2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7"/>
      <c r="L949" s="107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 ht="11.2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7"/>
      <c r="L950" s="107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 ht="11.2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7"/>
      <c r="L951" s="107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 ht="11.2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7"/>
      <c r="L952" s="107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 ht="11.2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7"/>
      <c r="L953" s="107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 ht="11.2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7"/>
      <c r="L954" s="107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 ht="11.2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7"/>
      <c r="L955" s="107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 ht="11.2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7"/>
      <c r="L956" s="107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 ht="11.2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7"/>
      <c r="L957" s="107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 ht="11.2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7"/>
      <c r="L958" s="107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 ht="11.2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7"/>
      <c r="L959" s="107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 ht="11.2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7"/>
      <c r="L960" s="107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 ht="11.2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7"/>
      <c r="L961" s="107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 ht="11.2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7"/>
      <c r="L962" s="107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 ht="11.2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7"/>
      <c r="L963" s="107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 ht="11.2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7"/>
      <c r="L964" s="107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 ht="11.2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7"/>
      <c r="L965" s="107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 ht="11.2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7"/>
      <c r="L966" s="107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 ht="11.2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7"/>
      <c r="L967" s="107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 ht="11.2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7"/>
      <c r="L968" s="107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 ht="11.2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7"/>
      <c r="L969" s="107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 ht="11.2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7"/>
      <c r="L970" s="107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 ht="11.2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7"/>
      <c r="L971" s="107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 ht="11.2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7"/>
      <c r="L972" s="107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 ht="11.2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7"/>
      <c r="L973" s="107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 ht="11.2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7"/>
      <c r="L974" s="107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 ht="11.2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7"/>
      <c r="L975" s="107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 ht="11.2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7"/>
      <c r="L976" s="107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 ht="11.2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7"/>
      <c r="L977" s="107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 ht="11.2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7"/>
      <c r="L978" s="107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 ht="11.2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7"/>
      <c r="L979" s="107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 ht="11.2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7"/>
      <c r="L980" s="107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  <row r="981" ht="11.2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7"/>
      <c r="L981" s="107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</row>
    <row r="982" ht="11.2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7"/>
      <c r="L982" s="107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</row>
    <row r="983" ht="11.2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7"/>
      <c r="L983" s="107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</row>
    <row r="984" ht="11.2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7"/>
      <c r="L984" s="107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</row>
    <row r="985" ht="11.2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7"/>
      <c r="L985" s="107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</row>
    <row r="986" ht="11.2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7"/>
      <c r="L986" s="107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</row>
    <row r="987" ht="11.2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7"/>
      <c r="L987" s="107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</row>
    <row r="988" ht="11.2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7"/>
      <c r="L988" s="107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</row>
    <row r="989" ht="11.2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7"/>
      <c r="L989" s="107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</row>
    <row r="990" ht="11.2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7"/>
      <c r="L990" s="107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</row>
    <row r="991" ht="11.2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7"/>
      <c r="L991" s="107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</row>
    <row r="992" ht="11.2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7"/>
      <c r="L992" s="107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</row>
    <row r="993" ht="11.2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7"/>
      <c r="L993" s="107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</row>
    <row r="994" ht="11.2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7"/>
      <c r="L994" s="107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</row>
    <row r="995" ht="11.2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7"/>
      <c r="L995" s="107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</row>
    <row r="996" ht="11.2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7"/>
      <c r="L996" s="107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</row>
    <row r="997" ht="11.2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7"/>
      <c r="L997" s="107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</row>
    <row r="998" ht="11.2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7"/>
      <c r="L998" s="107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</row>
    <row r="999" ht="11.2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7"/>
      <c r="L999" s="107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</row>
    <row r="1000" ht="11.2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7"/>
      <c r="L1000" s="107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</row>
  </sheetData>
  <mergeCells count="5">
    <mergeCell ref="B3:H3"/>
    <mergeCell ref="J3:L3"/>
    <mergeCell ref="N3:P3"/>
    <mergeCell ref="R3:T3"/>
    <mergeCell ref="R10:T10"/>
  </mergeCells>
  <hyperlinks>
    <hyperlink r:id="rId1" ref="G1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5"/>
    <col customWidth="1" min="2" max="2" width="25.0"/>
    <col customWidth="1" min="3" max="3" width="9.13"/>
    <col customWidth="1" hidden="1" min="4" max="11" width="9.13"/>
    <col customWidth="1" hidden="1" min="12" max="12" width="10.5"/>
    <col customWidth="1" hidden="1" min="13" max="15" width="9.13"/>
    <col customWidth="1" min="16" max="16" width="12.88"/>
    <col customWidth="1" min="17" max="20" width="12.63"/>
    <col customWidth="1" min="21" max="21" width="15.38"/>
    <col customWidth="1" min="22" max="25" width="12.63"/>
    <col customWidth="1" min="26" max="26" width="15.13"/>
    <col customWidth="1" hidden="1" min="27" max="27" width="9.13"/>
    <col customWidth="1" hidden="1" min="28" max="28" width="74.38"/>
    <col customWidth="1" min="29" max="36" width="9.13"/>
  </cols>
  <sheetData>
    <row r="1" ht="21.75" customHeight="1">
      <c r="A1" s="1"/>
      <c r="B1" s="3" t="s">
        <v>1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8"/>
      <c r="R1" s="1"/>
      <c r="S1" s="8"/>
      <c r="T1" s="1"/>
      <c r="U1" s="8"/>
      <c r="V1" s="1"/>
      <c r="W1" s="8"/>
      <c r="X1" s="1"/>
      <c r="Y1" s="8"/>
      <c r="Z1" s="8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9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9"/>
      <c r="S2" s="11"/>
      <c r="T2" s="9"/>
      <c r="U2" s="11"/>
      <c r="V2" s="9"/>
      <c r="W2" s="11"/>
      <c r="X2" s="9"/>
      <c r="Y2" s="11"/>
      <c r="Z2" s="11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13.5" customHeight="1">
      <c r="A3" s="9"/>
      <c r="B3" s="14"/>
      <c r="C3" s="16" t="s">
        <v>4</v>
      </c>
      <c r="D3" s="20" t="s">
        <v>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  <c r="P3" s="21" t="s">
        <v>7</v>
      </c>
      <c r="Q3" s="23" t="s">
        <v>5</v>
      </c>
      <c r="R3" s="17"/>
      <c r="S3" s="18"/>
      <c r="T3" s="23" t="s">
        <v>11</v>
      </c>
      <c r="U3" s="18"/>
      <c r="V3" s="23" t="s">
        <v>14</v>
      </c>
      <c r="W3" s="18"/>
      <c r="X3" s="23" t="s">
        <v>16</v>
      </c>
      <c r="Y3" s="27"/>
      <c r="Z3" s="24" t="s">
        <v>18</v>
      </c>
      <c r="AA3" s="9"/>
      <c r="AB3" s="25"/>
      <c r="AC3" s="9"/>
      <c r="AD3" s="9"/>
      <c r="AE3" s="9"/>
      <c r="AF3" s="9"/>
      <c r="AG3" s="9"/>
      <c r="AH3" s="9"/>
      <c r="AI3" s="9"/>
      <c r="AJ3" s="9"/>
    </row>
    <row r="4" ht="12.75" customHeight="1">
      <c r="A4" s="9"/>
      <c r="B4" s="26"/>
      <c r="C4" s="28" t="s">
        <v>17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6"/>
      <c r="Q4" s="31" t="s">
        <v>20</v>
      </c>
      <c r="R4" s="33" t="s">
        <v>21</v>
      </c>
      <c r="S4" s="31" t="s">
        <v>22</v>
      </c>
      <c r="T4" s="33" t="s">
        <v>23</v>
      </c>
      <c r="U4" s="31" t="s">
        <v>25</v>
      </c>
      <c r="V4" s="33" t="s">
        <v>26</v>
      </c>
      <c r="W4" s="31" t="s">
        <v>28</v>
      </c>
      <c r="X4" s="33" t="s">
        <v>30</v>
      </c>
      <c r="Y4" s="31" t="s">
        <v>32</v>
      </c>
      <c r="Z4" s="34" t="s">
        <v>35</v>
      </c>
      <c r="AA4" s="9"/>
      <c r="AB4" s="35"/>
      <c r="AC4" s="37"/>
      <c r="AD4" s="37"/>
      <c r="AE4" s="37"/>
      <c r="AF4" s="37"/>
      <c r="AG4" s="37"/>
      <c r="AH4" s="37"/>
      <c r="AI4" s="37"/>
      <c r="AJ4" s="37"/>
    </row>
    <row r="5" ht="12.75" customHeight="1">
      <c r="A5" s="9"/>
      <c r="B5" s="26"/>
      <c r="C5" s="26"/>
      <c r="D5" s="40" t="s">
        <v>40</v>
      </c>
      <c r="E5" s="40" t="s">
        <v>42</v>
      </c>
      <c r="F5" s="40" t="s">
        <v>44</v>
      </c>
      <c r="G5" s="40" t="s">
        <v>45</v>
      </c>
      <c r="H5" s="40" t="s">
        <v>46</v>
      </c>
      <c r="I5" s="40" t="s">
        <v>47</v>
      </c>
      <c r="J5" s="40" t="s">
        <v>48</v>
      </c>
      <c r="K5" s="40" t="s">
        <v>49</v>
      </c>
      <c r="L5" s="40" t="s">
        <v>50</v>
      </c>
      <c r="M5" s="40" t="s">
        <v>51</v>
      </c>
      <c r="N5" s="40" t="s">
        <v>52</v>
      </c>
      <c r="O5" s="40" t="s">
        <v>53</v>
      </c>
      <c r="P5" s="26"/>
      <c r="Q5" s="31" t="s">
        <v>54</v>
      </c>
      <c r="R5" s="33" t="s">
        <v>55</v>
      </c>
      <c r="S5" s="31" t="s">
        <v>54</v>
      </c>
      <c r="T5" s="33" t="s">
        <v>79</v>
      </c>
      <c r="U5" s="31" t="s">
        <v>84</v>
      </c>
      <c r="V5" s="33" t="s">
        <v>85</v>
      </c>
      <c r="W5" s="31" t="s">
        <v>86</v>
      </c>
      <c r="X5" s="33" t="s">
        <v>87</v>
      </c>
      <c r="Y5" s="31" t="s">
        <v>89</v>
      </c>
      <c r="Z5" s="31" t="s">
        <v>91</v>
      </c>
      <c r="AA5" s="9"/>
      <c r="AB5" s="43"/>
      <c r="AC5" s="37"/>
      <c r="AD5" s="37"/>
      <c r="AE5" s="37"/>
      <c r="AF5" s="37"/>
      <c r="AG5" s="37"/>
      <c r="AH5" s="37"/>
      <c r="AI5" s="37"/>
      <c r="AJ5" s="37"/>
    </row>
    <row r="6" ht="12.75" customHeight="1">
      <c r="A6" s="9"/>
      <c r="B6" s="26"/>
      <c r="C6" s="26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6"/>
      <c r="Q6" s="31" t="s">
        <v>70</v>
      </c>
      <c r="R6" s="33" t="s">
        <v>71</v>
      </c>
      <c r="S6" s="31" t="s">
        <v>72</v>
      </c>
      <c r="T6" s="33" t="s">
        <v>96</v>
      </c>
      <c r="U6" s="31" t="s">
        <v>98</v>
      </c>
      <c r="V6" s="33" t="s">
        <v>100</v>
      </c>
      <c r="W6" s="31" t="s">
        <v>102</v>
      </c>
      <c r="X6" s="33" t="s">
        <v>103</v>
      </c>
      <c r="Y6" s="31" t="s">
        <v>104</v>
      </c>
      <c r="Z6" s="31" t="s">
        <v>107</v>
      </c>
      <c r="AA6" s="9"/>
      <c r="AB6" s="48"/>
      <c r="AC6" s="9"/>
      <c r="AD6" s="9"/>
      <c r="AE6" s="9"/>
      <c r="AF6" s="9"/>
      <c r="AG6" s="9"/>
      <c r="AH6" s="9"/>
      <c r="AI6" s="9"/>
      <c r="AJ6" s="9"/>
    </row>
    <row r="7" ht="18.75" customHeight="1">
      <c r="A7" s="9"/>
      <c r="B7" s="49"/>
      <c r="C7" s="49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49"/>
      <c r="Q7" s="52"/>
      <c r="R7" s="54"/>
      <c r="S7" s="55" t="s">
        <v>101</v>
      </c>
      <c r="T7" s="56"/>
      <c r="U7" s="55" t="s">
        <v>124</v>
      </c>
      <c r="V7" s="56"/>
      <c r="W7" s="55" t="s">
        <v>126</v>
      </c>
      <c r="X7" s="56"/>
      <c r="Y7" s="55" t="s">
        <v>128</v>
      </c>
      <c r="Z7" s="55" t="s">
        <v>114</v>
      </c>
      <c r="AA7" s="58"/>
      <c r="AB7" s="59"/>
      <c r="AC7" s="9"/>
      <c r="AD7" s="9"/>
      <c r="AE7" s="9"/>
      <c r="AF7" s="9"/>
      <c r="AG7" s="9"/>
      <c r="AH7" s="9"/>
      <c r="AI7" s="9"/>
      <c r="AJ7" s="9"/>
    </row>
    <row r="8" ht="12.75" customHeight="1">
      <c r="A8" s="9"/>
      <c r="B8" s="62" t="s">
        <v>117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  <c r="AA8" s="58"/>
      <c r="AB8" s="66"/>
      <c r="AC8" s="9"/>
      <c r="AD8" s="9"/>
      <c r="AE8" s="9"/>
      <c r="AF8" s="9"/>
      <c r="AG8" s="9"/>
      <c r="AH8" s="9"/>
      <c r="AI8" s="9"/>
      <c r="AJ8" s="9"/>
    </row>
    <row r="9" ht="12.75" customHeight="1">
      <c r="A9" s="9"/>
      <c r="B9" s="69" t="s">
        <v>138</v>
      </c>
      <c r="C9" s="7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3">
        <v>42.3</v>
      </c>
      <c r="S9" s="71" t="str">
        <f t="shared" ref="S9:S29" si="1">IF(Q9=0,"",Q9*R9)</f>
        <v/>
      </c>
      <c r="T9" s="77">
        <v>73300.0</v>
      </c>
      <c r="U9" s="79" t="str">
        <f t="shared" ref="U9:U29" si="2">IF(Q9=0,"",S9*T9/1000)</f>
        <v/>
      </c>
      <c r="V9" s="69">
        <v>3.0</v>
      </c>
      <c r="W9" s="79" t="str">
        <f t="shared" ref="W9:W29" si="3">IF(Q9=0,"",S9*V9/1000)</f>
        <v/>
      </c>
      <c r="X9" s="69">
        <v>0.6</v>
      </c>
      <c r="Y9" s="79" t="str">
        <f t="shared" ref="Y9:Y29" si="4">IF(Q9=0,"",S9*X9/1000)</f>
        <v/>
      </c>
      <c r="Z9" s="71"/>
      <c r="AA9" s="58"/>
      <c r="AB9" s="66"/>
      <c r="AC9" s="9"/>
      <c r="AD9" s="9"/>
      <c r="AE9" s="9"/>
      <c r="AF9" s="9"/>
      <c r="AG9" s="9"/>
      <c r="AH9" s="9"/>
      <c r="AI9" s="9"/>
      <c r="AJ9" s="9"/>
    </row>
    <row r="10" ht="12.75" customHeight="1">
      <c r="A10" s="9"/>
      <c r="B10" s="88" t="s">
        <v>176</v>
      </c>
      <c r="C10" s="90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4">
        <v>27.5</v>
      </c>
      <c r="S10" s="91" t="str">
        <f t="shared" si="1"/>
        <v/>
      </c>
      <c r="T10" s="95">
        <v>77000.0</v>
      </c>
      <c r="U10" s="79" t="str">
        <f t="shared" si="2"/>
        <v/>
      </c>
      <c r="V10" s="88">
        <v>3.0</v>
      </c>
      <c r="W10" s="79" t="str">
        <f t="shared" si="3"/>
        <v/>
      </c>
      <c r="X10" s="88">
        <v>0.6</v>
      </c>
      <c r="Y10" s="79" t="str">
        <f t="shared" si="4"/>
        <v/>
      </c>
      <c r="Z10" s="91"/>
      <c r="AA10" s="58"/>
      <c r="AB10" s="66"/>
      <c r="AC10" s="9"/>
      <c r="AD10" s="9"/>
      <c r="AE10" s="9"/>
      <c r="AF10" s="9"/>
      <c r="AG10" s="9"/>
      <c r="AH10" s="9"/>
      <c r="AI10" s="9"/>
      <c r="AJ10" s="9"/>
    </row>
    <row r="11" ht="12.75" customHeight="1">
      <c r="A11" s="9"/>
      <c r="B11" s="88" t="s">
        <v>190</v>
      </c>
      <c r="C11" s="90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4">
        <v>44.2</v>
      </c>
      <c r="S11" s="91" t="str">
        <f t="shared" si="1"/>
        <v/>
      </c>
      <c r="T11" s="95">
        <v>64200.0</v>
      </c>
      <c r="U11" s="79" t="str">
        <f t="shared" si="2"/>
        <v/>
      </c>
      <c r="V11" s="88">
        <v>3.0</v>
      </c>
      <c r="W11" s="79" t="str">
        <f t="shared" si="3"/>
        <v/>
      </c>
      <c r="X11" s="88">
        <v>0.6</v>
      </c>
      <c r="Y11" s="79" t="str">
        <f t="shared" si="4"/>
        <v/>
      </c>
      <c r="Z11" s="91"/>
      <c r="AA11" s="58"/>
      <c r="AB11" s="66"/>
      <c r="AC11" s="9"/>
      <c r="AD11" s="9"/>
      <c r="AE11" s="9"/>
      <c r="AF11" s="9"/>
      <c r="AG11" s="9"/>
      <c r="AH11" s="9"/>
      <c r="AI11" s="9"/>
      <c r="AJ11" s="9"/>
    </row>
    <row r="12" ht="12.75" customHeight="1">
      <c r="A12" s="9"/>
      <c r="B12" s="88" t="s">
        <v>197</v>
      </c>
      <c r="C12" s="90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4">
        <v>44.3</v>
      </c>
      <c r="S12" s="91" t="str">
        <f t="shared" si="1"/>
        <v/>
      </c>
      <c r="T12" s="95">
        <v>69300.0</v>
      </c>
      <c r="U12" s="79" t="str">
        <f t="shared" si="2"/>
        <v/>
      </c>
      <c r="V12" s="88">
        <v>3.0</v>
      </c>
      <c r="W12" s="79" t="str">
        <f t="shared" si="3"/>
        <v/>
      </c>
      <c r="X12" s="88">
        <v>0.6</v>
      </c>
      <c r="Y12" s="79" t="str">
        <f t="shared" si="4"/>
        <v/>
      </c>
      <c r="Z12" s="91"/>
      <c r="AA12" s="58"/>
      <c r="AB12" s="109"/>
      <c r="AC12" s="9"/>
      <c r="AD12" s="9"/>
      <c r="AE12" s="9"/>
      <c r="AF12" s="9"/>
      <c r="AG12" s="9"/>
      <c r="AH12" s="9"/>
      <c r="AI12" s="9"/>
      <c r="AJ12" s="9"/>
    </row>
    <row r="13" ht="12.75" customHeight="1">
      <c r="A13" s="9"/>
      <c r="B13" s="88" t="s">
        <v>199</v>
      </c>
      <c r="C13" s="90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4">
        <v>44.3</v>
      </c>
      <c r="S13" s="91" t="str">
        <f t="shared" si="1"/>
        <v/>
      </c>
      <c r="T13" s="95">
        <v>70000.0</v>
      </c>
      <c r="U13" s="79" t="str">
        <f t="shared" si="2"/>
        <v/>
      </c>
      <c r="V13" s="88">
        <v>3.0</v>
      </c>
      <c r="W13" s="79" t="str">
        <f t="shared" si="3"/>
        <v/>
      </c>
      <c r="X13" s="88">
        <v>0.6</v>
      </c>
      <c r="Y13" s="79" t="str">
        <f t="shared" si="4"/>
        <v/>
      </c>
      <c r="Z13" s="91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ht="12.75" customHeight="1">
      <c r="A14" s="9"/>
      <c r="B14" s="88" t="s">
        <v>200</v>
      </c>
      <c r="C14" s="90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4">
        <v>44.3</v>
      </c>
      <c r="S14" s="91" t="str">
        <f t="shared" si="1"/>
        <v/>
      </c>
      <c r="T14" s="95">
        <v>70000.0</v>
      </c>
      <c r="U14" s="79" t="str">
        <f t="shared" si="2"/>
        <v/>
      </c>
      <c r="V14" s="88">
        <v>3.0</v>
      </c>
      <c r="W14" s="79" t="str">
        <f t="shared" si="3"/>
        <v/>
      </c>
      <c r="X14" s="88">
        <v>0.6</v>
      </c>
      <c r="Y14" s="79" t="str">
        <f t="shared" si="4"/>
        <v/>
      </c>
      <c r="Z14" s="91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ht="12.75" customHeight="1">
      <c r="A15" s="9"/>
      <c r="B15" s="88" t="s">
        <v>201</v>
      </c>
      <c r="C15" s="90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4">
        <v>44.1</v>
      </c>
      <c r="S15" s="91" t="str">
        <f t="shared" si="1"/>
        <v/>
      </c>
      <c r="T15" s="95">
        <v>71500.0</v>
      </c>
      <c r="U15" s="79" t="str">
        <f t="shared" si="2"/>
        <v/>
      </c>
      <c r="V15" s="88">
        <v>3.0</v>
      </c>
      <c r="W15" s="79" t="str">
        <f t="shared" si="3"/>
        <v/>
      </c>
      <c r="X15" s="88">
        <v>0.6</v>
      </c>
      <c r="Y15" s="79" t="str">
        <f t="shared" si="4"/>
        <v/>
      </c>
      <c r="Z15" s="91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ht="12.75" customHeight="1">
      <c r="A16" s="9"/>
      <c r="B16" s="88" t="s">
        <v>88</v>
      </c>
      <c r="C16" s="90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4">
        <v>43.8</v>
      </c>
      <c r="S16" s="91" t="str">
        <f t="shared" si="1"/>
        <v/>
      </c>
      <c r="T16" s="95">
        <v>71900.0</v>
      </c>
      <c r="U16" s="79" t="str">
        <f t="shared" si="2"/>
        <v/>
      </c>
      <c r="V16" s="88">
        <v>3.0</v>
      </c>
      <c r="W16" s="79" t="str">
        <f t="shared" si="3"/>
        <v/>
      </c>
      <c r="X16" s="88">
        <v>0.6</v>
      </c>
      <c r="Y16" s="79" t="str">
        <f t="shared" si="4"/>
        <v/>
      </c>
      <c r="Z16" s="91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12.75" customHeight="1">
      <c r="A17" s="9"/>
      <c r="B17" s="88" t="s">
        <v>203</v>
      </c>
      <c r="C17" s="90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4">
        <v>38.1</v>
      </c>
      <c r="S17" s="91" t="str">
        <f t="shared" si="1"/>
        <v/>
      </c>
      <c r="T17" s="95">
        <v>73300.0</v>
      </c>
      <c r="U17" s="79" t="str">
        <f t="shared" si="2"/>
        <v/>
      </c>
      <c r="V17" s="88">
        <v>3.0</v>
      </c>
      <c r="W17" s="79" t="str">
        <f t="shared" si="3"/>
        <v/>
      </c>
      <c r="X17" s="88">
        <v>0.6</v>
      </c>
      <c r="Y17" s="79" t="str">
        <f t="shared" si="4"/>
        <v/>
      </c>
      <c r="Z17" s="91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ht="12.75" customHeight="1">
      <c r="A18" s="103"/>
      <c r="B18" s="104" t="s">
        <v>204</v>
      </c>
      <c r="C18" s="106" t="s">
        <v>205</v>
      </c>
      <c r="D18" s="79">
        <v>54.67</v>
      </c>
      <c r="E18" s="79">
        <v>166.19</v>
      </c>
      <c r="F18" s="79">
        <v>246.81</v>
      </c>
      <c r="G18" s="79">
        <v>118.44</v>
      </c>
      <c r="H18" s="79">
        <v>20.0</v>
      </c>
      <c r="I18" s="79">
        <v>110.39</v>
      </c>
      <c r="J18" s="79">
        <v>118.71</v>
      </c>
      <c r="K18" s="79">
        <v>103.89</v>
      </c>
      <c r="L18" s="79">
        <v>80.62</v>
      </c>
      <c r="M18" s="79">
        <v>217.18</v>
      </c>
      <c r="N18" s="79">
        <v>137.73</v>
      </c>
      <c r="O18" s="79">
        <v>264.13</v>
      </c>
      <c r="P18" s="79">
        <f>SUM(D18:O18)</f>
        <v>1638.76</v>
      </c>
      <c r="Q18" s="79">
        <f>P18/1000</f>
        <v>1.63876</v>
      </c>
      <c r="R18" s="111">
        <v>43.0</v>
      </c>
      <c r="S18" s="79">
        <f t="shared" si="1"/>
        <v>70.46668</v>
      </c>
      <c r="T18" s="112">
        <v>74100.0</v>
      </c>
      <c r="U18" s="79">
        <f t="shared" si="2"/>
        <v>5221.580988</v>
      </c>
      <c r="V18" s="104">
        <v>3.0</v>
      </c>
      <c r="W18" s="79">
        <f t="shared" si="3"/>
        <v>0.21140004</v>
      </c>
      <c r="X18" s="104">
        <v>0.6</v>
      </c>
      <c r="Y18" s="79">
        <f t="shared" si="4"/>
        <v>0.042280008</v>
      </c>
      <c r="Z18" s="79">
        <f>U18+W18*28+Y18*273</f>
        <v>5239.042631</v>
      </c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</row>
    <row r="19" ht="12.75" customHeight="1">
      <c r="A19" s="9"/>
      <c r="B19" s="88" t="s">
        <v>207</v>
      </c>
      <c r="C19" s="90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79"/>
      <c r="R19" s="94">
        <v>40.4</v>
      </c>
      <c r="S19" s="91" t="str">
        <f t="shared" si="1"/>
        <v/>
      </c>
      <c r="T19" s="95">
        <v>77400.0</v>
      </c>
      <c r="U19" s="79" t="str">
        <f t="shared" si="2"/>
        <v/>
      </c>
      <c r="V19" s="88">
        <v>3.0</v>
      </c>
      <c r="W19" s="79" t="str">
        <f t="shared" si="3"/>
        <v/>
      </c>
      <c r="X19" s="88">
        <v>0.6</v>
      </c>
      <c r="Y19" s="79" t="str">
        <f t="shared" si="4"/>
        <v/>
      </c>
      <c r="Z19" s="91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ht="12.75" customHeight="1">
      <c r="A20" s="103"/>
      <c r="B20" s="104" t="s">
        <v>132</v>
      </c>
      <c r="C20" s="106" t="s">
        <v>209</v>
      </c>
      <c r="D20" s="79">
        <v>52.0</v>
      </c>
      <c r="E20" s="79">
        <v>130.0</v>
      </c>
      <c r="F20" s="79">
        <v>52.0</v>
      </c>
      <c r="G20" s="79">
        <v>52.0</v>
      </c>
      <c r="H20" s="79">
        <v>52.0</v>
      </c>
      <c r="I20" s="79">
        <v>52.0</v>
      </c>
      <c r="J20" s="79">
        <v>52.0</v>
      </c>
      <c r="K20" s="79">
        <v>52.0</v>
      </c>
      <c r="L20" s="79">
        <v>52.0</v>
      </c>
      <c r="M20" s="79">
        <v>130.0</v>
      </c>
      <c r="N20" s="79">
        <v>65.0</v>
      </c>
      <c r="O20" s="79">
        <v>65.0</v>
      </c>
      <c r="P20" s="79">
        <f>SUM(D20:O20)</f>
        <v>806</v>
      </c>
      <c r="Q20" s="79">
        <f>P20/1000000</f>
        <v>0.000806</v>
      </c>
      <c r="R20" s="111">
        <v>47.3</v>
      </c>
      <c r="S20" s="79">
        <f t="shared" si="1"/>
        <v>0.0381238</v>
      </c>
      <c r="T20" s="112">
        <v>63100.0</v>
      </c>
      <c r="U20" s="79">
        <f t="shared" si="2"/>
        <v>2.40561178</v>
      </c>
      <c r="V20" s="104">
        <v>1.0</v>
      </c>
      <c r="W20" s="86">
        <f t="shared" si="3"/>
        <v>0.0000381238</v>
      </c>
      <c r="X20" s="104">
        <v>0.1</v>
      </c>
      <c r="Y20" s="124">
        <f t="shared" si="4"/>
        <v>0.00000381238</v>
      </c>
      <c r="Z20" s="79">
        <f>U20+W20*28+Y20*273</f>
        <v>2.407720026</v>
      </c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</row>
    <row r="21" ht="12.75" customHeight="1">
      <c r="A21" s="9"/>
      <c r="B21" s="88" t="s">
        <v>210</v>
      </c>
      <c r="C21" s="90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4">
        <v>46.4</v>
      </c>
      <c r="S21" s="91" t="str">
        <f t="shared" si="1"/>
        <v/>
      </c>
      <c r="T21" s="95">
        <v>61600.0</v>
      </c>
      <c r="U21" s="79" t="str">
        <f t="shared" si="2"/>
        <v/>
      </c>
      <c r="V21" s="88">
        <v>1.0</v>
      </c>
      <c r="W21" s="79" t="str">
        <f t="shared" si="3"/>
        <v/>
      </c>
      <c r="X21" s="88">
        <v>0.1</v>
      </c>
      <c r="Y21" s="79" t="str">
        <f t="shared" si="4"/>
        <v/>
      </c>
      <c r="Z21" s="91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12.75" customHeight="1">
      <c r="A22" s="9"/>
      <c r="B22" s="88" t="s">
        <v>211</v>
      </c>
      <c r="C22" s="9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4">
        <v>44.5</v>
      </c>
      <c r="S22" s="91" t="str">
        <f t="shared" si="1"/>
        <v/>
      </c>
      <c r="T22" s="95">
        <v>73300.0</v>
      </c>
      <c r="U22" s="79" t="str">
        <f t="shared" si="2"/>
        <v/>
      </c>
      <c r="V22" s="88">
        <v>3.0</v>
      </c>
      <c r="W22" s="79" t="str">
        <f t="shared" si="3"/>
        <v/>
      </c>
      <c r="X22" s="88">
        <v>0.6</v>
      </c>
      <c r="Y22" s="79" t="str">
        <f t="shared" si="4"/>
        <v/>
      </c>
      <c r="Z22" s="91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ht="12.75" customHeight="1">
      <c r="A23" s="9"/>
      <c r="B23" s="88" t="s">
        <v>213</v>
      </c>
      <c r="C23" s="9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4">
        <v>40.2</v>
      </c>
      <c r="S23" s="91" t="str">
        <f t="shared" si="1"/>
        <v/>
      </c>
      <c r="T23" s="95">
        <v>80700.0</v>
      </c>
      <c r="U23" s="79" t="str">
        <f t="shared" si="2"/>
        <v/>
      </c>
      <c r="V23" s="88">
        <v>3.0</v>
      </c>
      <c r="W23" s="79" t="str">
        <f t="shared" si="3"/>
        <v/>
      </c>
      <c r="X23" s="88">
        <v>0.6</v>
      </c>
      <c r="Y23" s="79" t="str">
        <f t="shared" si="4"/>
        <v/>
      </c>
      <c r="Z23" s="91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ht="12.75" customHeight="1">
      <c r="A24" s="9"/>
      <c r="B24" s="88" t="s">
        <v>215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4">
        <v>40.2</v>
      </c>
      <c r="S24" s="91" t="str">
        <f t="shared" si="1"/>
        <v/>
      </c>
      <c r="T24" s="95">
        <v>73300.0</v>
      </c>
      <c r="U24" s="79" t="str">
        <f t="shared" si="2"/>
        <v/>
      </c>
      <c r="V24" s="88">
        <v>3.0</v>
      </c>
      <c r="W24" s="79" t="str">
        <f t="shared" si="3"/>
        <v/>
      </c>
      <c r="X24" s="88">
        <v>0.6</v>
      </c>
      <c r="Y24" s="79" t="str">
        <f t="shared" si="4"/>
        <v/>
      </c>
      <c r="Z24" s="91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ht="12.75" customHeight="1">
      <c r="A25" s="9"/>
      <c r="B25" s="88" t="s">
        <v>217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4">
        <v>32.5</v>
      </c>
      <c r="S25" s="91" t="str">
        <f t="shared" si="1"/>
        <v/>
      </c>
      <c r="T25" s="95">
        <v>97500.0</v>
      </c>
      <c r="U25" s="79" t="str">
        <f t="shared" si="2"/>
        <v/>
      </c>
      <c r="V25" s="88">
        <v>3.0</v>
      </c>
      <c r="W25" s="79" t="str">
        <f t="shared" si="3"/>
        <v/>
      </c>
      <c r="X25" s="88">
        <v>0.6</v>
      </c>
      <c r="Y25" s="79" t="str">
        <f t="shared" si="4"/>
        <v/>
      </c>
      <c r="Z25" s="91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ht="15.0" customHeight="1">
      <c r="A26" s="9"/>
      <c r="B26" s="88" t="s">
        <v>219</v>
      </c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4">
        <v>43.0</v>
      </c>
      <c r="S26" s="91" t="str">
        <f t="shared" si="1"/>
        <v/>
      </c>
      <c r="T26" s="95">
        <v>73300.0</v>
      </c>
      <c r="U26" s="79" t="str">
        <f t="shared" si="2"/>
        <v/>
      </c>
      <c r="V26" s="88">
        <v>3.0</v>
      </c>
      <c r="W26" s="79" t="str">
        <f t="shared" si="3"/>
        <v/>
      </c>
      <c r="X26" s="88">
        <v>0.6</v>
      </c>
      <c r="Y26" s="79" t="str">
        <f t="shared" si="4"/>
        <v/>
      </c>
      <c r="Z26" s="91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ht="12.75" customHeight="1">
      <c r="A27" s="9"/>
      <c r="B27" s="88" t="s">
        <v>221</v>
      </c>
      <c r="C27" s="90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4">
        <v>49.5</v>
      </c>
      <c r="S27" s="91" t="str">
        <f t="shared" si="1"/>
        <v/>
      </c>
      <c r="T27" s="95">
        <v>57600.0</v>
      </c>
      <c r="U27" s="79" t="str">
        <f t="shared" si="2"/>
        <v/>
      </c>
      <c r="V27" s="88">
        <v>1.0</v>
      </c>
      <c r="W27" s="79" t="str">
        <f t="shared" si="3"/>
        <v/>
      </c>
      <c r="X27" s="88">
        <v>0.1</v>
      </c>
      <c r="Y27" s="79" t="str">
        <f t="shared" si="4"/>
        <v/>
      </c>
      <c r="Z27" s="91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ht="12.75" customHeight="1">
      <c r="A28" s="9"/>
      <c r="B28" s="88" t="s">
        <v>222</v>
      </c>
      <c r="C28" s="9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4">
        <v>40.2</v>
      </c>
      <c r="S28" s="91" t="str">
        <f t="shared" si="1"/>
        <v/>
      </c>
      <c r="T28" s="95">
        <v>73300.0</v>
      </c>
      <c r="U28" s="79" t="str">
        <f t="shared" si="2"/>
        <v/>
      </c>
      <c r="V28" s="88">
        <v>3.0</v>
      </c>
      <c r="W28" s="79" t="str">
        <f t="shared" si="3"/>
        <v/>
      </c>
      <c r="X28" s="88">
        <v>0.6</v>
      </c>
      <c r="Y28" s="79" t="str">
        <f t="shared" si="4"/>
        <v/>
      </c>
      <c r="Z28" s="91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ht="13.5" customHeight="1">
      <c r="A29" s="9"/>
      <c r="B29" s="128" t="s">
        <v>223</v>
      </c>
      <c r="C29" s="129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32"/>
      <c r="S29" s="131" t="str">
        <f t="shared" si="1"/>
        <v/>
      </c>
      <c r="T29" s="133">
        <v>73300.0</v>
      </c>
      <c r="U29" s="79" t="str">
        <f t="shared" si="2"/>
        <v/>
      </c>
      <c r="V29" s="134">
        <v>3.0</v>
      </c>
      <c r="W29" s="79" t="str">
        <f t="shared" si="3"/>
        <v/>
      </c>
      <c r="X29" s="134">
        <v>0.6</v>
      </c>
      <c r="Y29" s="79" t="str">
        <f t="shared" si="4"/>
        <v/>
      </c>
      <c r="Z29" s="131" t="str">
        <f>IF(R29=0,"",T29*Y29/10^6)</f>
        <v/>
      </c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12.75" customHeight="1">
      <c r="A30" s="9"/>
      <c r="B30" s="138" t="s">
        <v>224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4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ht="12.75" customHeight="1">
      <c r="A31" s="9"/>
      <c r="B31" s="69" t="s">
        <v>225</v>
      </c>
      <c r="C31" s="70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137"/>
      <c r="R31" s="73">
        <v>26.7</v>
      </c>
      <c r="S31" s="71" t="str">
        <f t="shared" ref="S31:S45" si="5">IF(Q31=0,"",Q31*R31)</f>
        <v/>
      </c>
      <c r="T31" s="77">
        <v>98300.0</v>
      </c>
      <c r="U31" s="79" t="str">
        <f t="shared" ref="U31:U45" si="6">IF(Q31=0,"",S31*T31/1000)</f>
        <v/>
      </c>
      <c r="V31" s="69">
        <v>1.0</v>
      </c>
      <c r="W31" s="79" t="str">
        <f t="shared" ref="W31:W45" si="7">IF(Q31=0,"",S31*V31/1000)</f>
        <v/>
      </c>
      <c r="X31" s="69">
        <v>1.5</v>
      </c>
      <c r="Y31" s="79" t="str">
        <f t="shared" ref="Y31:Y45" si="8">IF(Q31=0,"",S31*X31/1000)</f>
        <v/>
      </c>
      <c r="Z31" s="71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ht="12.75" customHeight="1">
      <c r="A32" s="9"/>
      <c r="B32" s="88" t="s">
        <v>226</v>
      </c>
      <c r="C32" s="90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4">
        <v>28.2</v>
      </c>
      <c r="S32" s="91" t="str">
        <f t="shared" si="5"/>
        <v/>
      </c>
      <c r="T32" s="95">
        <v>94600.0</v>
      </c>
      <c r="U32" s="79" t="str">
        <f t="shared" si="6"/>
        <v/>
      </c>
      <c r="V32" s="88">
        <v>1.0</v>
      </c>
      <c r="W32" s="79" t="str">
        <f t="shared" si="7"/>
        <v/>
      </c>
      <c r="X32" s="88">
        <v>1.5</v>
      </c>
      <c r="Y32" s="79" t="str">
        <f t="shared" si="8"/>
        <v/>
      </c>
      <c r="Z32" s="91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ht="12.75" customHeight="1">
      <c r="A33" s="9"/>
      <c r="B33" s="88" t="s">
        <v>227</v>
      </c>
      <c r="C33" s="90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4">
        <v>28.2</v>
      </c>
      <c r="S33" s="91" t="str">
        <f t="shared" si="5"/>
        <v/>
      </c>
      <c r="T33" s="95">
        <v>94600.0</v>
      </c>
      <c r="U33" s="79" t="str">
        <f t="shared" si="6"/>
        <v/>
      </c>
      <c r="V33" s="88">
        <v>1.0</v>
      </c>
      <c r="W33" s="79" t="str">
        <f t="shared" si="7"/>
        <v/>
      </c>
      <c r="X33" s="88">
        <v>1.5</v>
      </c>
      <c r="Y33" s="79" t="str">
        <f t="shared" si="8"/>
        <v/>
      </c>
      <c r="Z33" s="91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ht="12.75" customHeight="1">
      <c r="A34" s="103"/>
      <c r="B34" s="104" t="s">
        <v>228</v>
      </c>
      <c r="C34" s="106" t="s">
        <v>205</v>
      </c>
      <c r="D34" s="79">
        <v>414167.0</v>
      </c>
      <c r="E34" s="79">
        <v>290945.0</v>
      </c>
      <c r="F34" s="79">
        <v>371099.0</v>
      </c>
      <c r="G34" s="79">
        <v>398417.0</v>
      </c>
      <c r="H34" s="79">
        <v>444814.0</v>
      </c>
      <c r="I34" s="79">
        <v>322436.0</v>
      </c>
      <c r="J34" s="79">
        <v>337317.0</v>
      </c>
      <c r="K34" s="79">
        <v>288514.0</v>
      </c>
      <c r="L34" s="79">
        <v>166038.2</v>
      </c>
      <c r="M34" s="79">
        <v>266070.58</v>
      </c>
      <c r="N34" s="79">
        <v>381556.0</v>
      </c>
      <c r="O34" s="79">
        <v>327877.0</v>
      </c>
      <c r="P34" s="79">
        <f>SUM(D34:O34)</f>
        <v>4009250.78</v>
      </c>
      <c r="Q34" s="79">
        <f>P34/1000</f>
        <v>4009.25078</v>
      </c>
      <c r="R34" s="111">
        <v>18.9</v>
      </c>
      <c r="S34" s="79">
        <f t="shared" si="5"/>
        <v>75774.83974</v>
      </c>
      <c r="T34" s="112">
        <v>96100.0</v>
      </c>
      <c r="U34" s="79">
        <f t="shared" si="6"/>
        <v>7281962.099</v>
      </c>
      <c r="V34" s="104">
        <v>1.0</v>
      </c>
      <c r="W34" s="79">
        <f t="shared" si="7"/>
        <v>75.77483974</v>
      </c>
      <c r="X34" s="104">
        <v>1.5</v>
      </c>
      <c r="Y34" s="79">
        <f t="shared" si="8"/>
        <v>113.6622596</v>
      </c>
      <c r="Z34" s="79">
        <f>U34+W34*28+Y34*273</f>
        <v>7315113.592</v>
      </c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</row>
    <row r="35" ht="12.75" customHeight="1">
      <c r="A35" s="9"/>
      <c r="B35" s="88" t="s">
        <v>229</v>
      </c>
      <c r="C35" s="90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4">
        <v>11.9</v>
      </c>
      <c r="S35" s="91" t="str">
        <f t="shared" si="5"/>
        <v/>
      </c>
      <c r="T35" s="95">
        <v>101000.0</v>
      </c>
      <c r="U35" s="79" t="str">
        <f t="shared" si="6"/>
        <v/>
      </c>
      <c r="V35" s="88">
        <v>1.0</v>
      </c>
      <c r="W35" s="79" t="str">
        <f t="shared" si="7"/>
        <v/>
      </c>
      <c r="X35" s="88">
        <v>1.5</v>
      </c>
      <c r="Y35" s="79" t="str">
        <f t="shared" si="8"/>
        <v/>
      </c>
      <c r="Z35" s="91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ht="12.75" customHeight="1">
      <c r="A36" s="9"/>
      <c r="B36" s="88" t="s">
        <v>230</v>
      </c>
      <c r="C36" s="9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4">
        <v>8.9</v>
      </c>
      <c r="S36" s="91" t="str">
        <f t="shared" si="5"/>
        <v/>
      </c>
      <c r="T36" s="95">
        <v>107000.0</v>
      </c>
      <c r="U36" s="79" t="str">
        <f t="shared" si="6"/>
        <v/>
      </c>
      <c r="V36" s="88">
        <v>1.0</v>
      </c>
      <c r="W36" s="79" t="str">
        <f t="shared" si="7"/>
        <v/>
      </c>
      <c r="X36" s="88">
        <v>1.5</v>
      </c>
      <c r="Y36" s="79" t="str">
        <f t="shared" si="8"/>
        <v/>
      </c>
      <c r="Z36" s="91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ht="12.75" customHeight="1">
      <c r="A37" s="9"/>
      <c r="B37" s="88" t="s">
        <v>231</v>
      </c>
      <c r="C37" s="90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4">
        <v>20.7</v>
      </c>
      <c r="S37" s="91" t="str">
        <f t="shared" si="5"/>
        <v/>
      </c>
      <c r="T37" s="95">
        <v>97500.0</v>
      </c>
      <c r="U37" s="79" t="str">
        <f t="shared" si="6"/>
        <v/>
      </c>
      <c r="V37" s="88">
        <v>1.0</v>
      </c>
      <c r="W37" s="79" t="str">
        <f t="shared" si="7"/>
        <v/>
      </c>
      <c r="X37" s="88">
        <v>1.5</v>
      </c>
      <c r="Y37" s="79" t="str">
        <f t="shared" si="8"/>
        <v/>
      </c>
      <c r="Z37" s="91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12.75" customHeight="1">
      <c r="A38" s="9"/>
      <c r="B38" s="88" t="s">
        <v>232</v>
      </c>
      <c r="C38" s="90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4">
        <v>20.7</v>
      </c>
      <c r="S38" s="91" t="str">
        <f t="shared" si="5"/>
        <v/>
      </c>
      <c r="T38" s="95">
        <v>97500.0</v>
      </c>
      <c r="U38" s="79" t="str">
        <f t="shared" si="6"/>
        <v/>
      </c>
      <c r="V38" s="88">
        <v>1.0</v>
      </c>
      <c r="W38" s="79" t="str">
        <f t="shared" si="7"/>
        <v/>
      </c>
      <c r="X38" s="88">
        <v>1.5</v>
      </c>
      <c r="Y38" s="79" t="str">
        <f t="shared" si="8"/>
        <v/>
      </c>
      <c r="Z38" s="91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ht="12.75" customHeight="1">
      <c r="A39" s="9"/>
      <c r="B39" s="88" t="s">
        <v>233</v>
      </c>
      <c r="C39" s="90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4">
        <v>28.2</v>
      </c>
      <c r="S39" s="91" t="str">
        <f t="shared" si="5"/>
        <v/>
      </c>
      <c r="T39" s="95">
        <v>107000.0</v>
      </c>
      <c r="U39" s="79" t="str">
        <f t="shared" si="6"/>
        <v/>
      </c>
      <c r="V39" s="88">
        <v>1.0</v>
      </c>
      <c r="W39" s="79" t="str">
        <f t="shared" si="7"/>
        <v/>
      </c>
      <c r="X39" s="88">
        <v>1.5</v>
      </c>
      <c r="Y39" s="79" t="str">
        <f t="shared" si="8"/>
        <v/>
      </c>
      <c r="Z39" s="91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ht="12.75" customHeight="1">
      <c r="A40" s="9"/>
      <c r="B40" s="88" t="s">
        <v>234</v>
      </c>
      <c r="C40" s="90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4">
        <v>28.2</v>
      </c>
      <c r="S40" s="91" t="str">
        <f t="shared" si="5"/>
        <v/>
      </c>
      <c r="T40" s="95">
        <v>107000.0</v>
      </c>
      <c r="U40" s="79" t="str">
        <f t="shared" si="6"/>
        <v/>
      </c>
      <c r="V40" s="88">
        <v>1.0</v>
      </c>
      <c r="W40" s="79" t="str">
        <f t="shared" si="7"/>
        <v/>
      </c>
      <c r="X40" s="88">
        <v>0.1</v>
      </c>
      <c r="Y40" s="79" t="str">
        <f t="shared" si="8"/>
        <v/>
      </c>
      <c r="Z40" s="91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ht="12.75" customHeight="1">
      <c r="A41" s="9"/>
      <c r="B41" s="88" t="s">
        <v>235</v>
      </c>
      <c r="C41" s="90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4">
        <v>28.0</v>
      </c>
      <c r="S41" s="91" t="str">
        <f t="shared" si="5"/>
        <v/>
      </c>
      <c r="T41" s="95">
        <v>80700.0</v>
      </c>
      <c r="U41" s="79" t="str">
        <f t="shared" si="6"/>
        <v/>
      </c>
      <c r="V41" s="88">
        <v>1.0</v>
      </c>
      <c r="W41" s="79" t="str">
        <f t="shared" si="7"/>
        <v/>
      </c>
      <c r="X41" s="88">
        <v>1.5</v>
      </c>
      <c r="Y41" s="79" t="str">
        <f t="shared" si="8"/>
        <v/>
      </c>
      <c r="Z41" s="91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ht="12.75" customHeight="1">
      <c r="A42" s="9"/>
      <c r="B42" s="88" t="s">
        <v>236</v>
      </c>
      <c r="C42" s="90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4">
        <v>38.7</v>
      </c>
      <c r="S42" s="91" t="str">
        <f t="shared" si="5"/>
        <v/>
      </c>
      <c r="T42" s="95">
        <v>44400.0</v>
      </c>
      <c r="U42" s="79" t="str">
        <f t="shared" si="6"/>
        <v/>
      </c>
      <c r="V42" s="88">
        <v>1.0</v>
      </c>
      <c r="W42" s="79" t="str">
        <f t="shared" si="7"/>
        <v/>
      </c>
      <c r="X42" s="88">
        <v>0.1</v>
      </c>
      <c r="Y42" s="79" t="str">
        <f t="shared" si="8"/>
        <v/>
      </c>
      <c r="Z42" s="91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ht="12.75" customHeight="1">
      <c r="A43" s="9"/>
      <c r="B43" s="88" t="s">
        <v>237</v>
      </c>
      <c r="C43" s="90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4">
        <v>38.7</v>
      </c>
      <c r="S43" s="91" t="str">
        <f t="shared" si="5"/>
        <v/>
      </c>
      <c r="T43" s="95">
        <v>44400.0</v>
      </c>
      <c r="U43" s="79" t="str">
        <f t="shared" si="6"/>
        <v/>
      </c>
      <c r="V43" s="88">
        <v>1.0</v>
      </c>
      <c r="W43" s="79" t="str">
        <f t="shared" si="7"/>
        <v/>
      </c>
      <c r="X43" s="88">
        <v>0.1</v>
      </c>
      <c r="Y43" s="79" t="str">
        <f t="shared" si="8"/>
        <v/>
      </c>
      <c r="Z43" s="91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ht="12.75" customHeight="1">
      <c r="A44" s="9"/>
      <c r="B44" s="88" t="s">
        <v>238</v>
      </c>
      <c r="C44" s="90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4">
        <v>2.47</v>
      </c>
      <c r="S44" s="91" t="str">
        <f t="shared" si="5"/>
        <v/>
      </c>
      <c r="T44" s="95">
        <v>260000.0</v>
      </c>
      <c r="U44" s="79" t="str">
        <f t="shared" si="6"/>
        <v/>
      </c>
      <c r="V44" s="88">
        <v>1.0</v>
      </c>
      <c r="W44" s="79" t="str">
        <f t="shared" si="7"/>
        <v/>
      </c>
      <c r="X44" s="88">
        <v>0.1</v>
      </c>
      <c r="Y44" s="79" t="str">
        <f t="shared" si="8"/>
        <v/>
      </c>
      <c r="Z44" s="91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ht="12.75" customHeight="1">
      <c r="A45" s="9"/>
      <c r="B45" s="88" t="s">
        <v>239</v>
      </c>
      <c r="C45" s="90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4">
        <v>7.06</v>
      </c>
      <c r="S45" s="91" t="str">
        <f t="shared" si="5"/>
        <v/>
      </c>
      <c r="T45" s="95">
        <v>182000.0</v>
      </c>
      <c r="U45" s="79" t="str">
        <f t="shared" si="6"/>
        <v/>
      </c>
      <c r="V45" s="88">
        <v>1.0</v>
      </c>
      <c r="W45" s="79" t="str">
        <f t="shared" si="7"/>
        <v/>
      </c>
      <c r="X45" s="88">
        <v>0.1</v>
      </c>
      <c r="Y45" s="79" t="str">
        <f t="shared" si="8"/>
        <v/>
      </c>
      <c r="Z45" s="91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12.75" customHeight="1">
      <c r="A46" s="9"/>
      <c r="B46" s="139" t="s">
        <v>240</v>
      </c>
      <c r="C46" s="140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39"/>
      <c r="S46" s="141"/>
      <c r="T46" s="139"/>
      <c r="U46" s="141"/>
      <c r="V46" s="139"/>
      <c r="W46" s="141"/>
      <c r="X46" s="140"/>
      <c r="Y46" s="141"/>
      <c r="Z46" s="141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ht="12.75" customHeight="1">
      <c r="A47" s="9"/>
      <c r="B47" s="88" t="s">
        <v>241</v>
      </c>
      <c r="C47" s="90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79"/>
      <c r="R47" s="94">
        <v>48.0</v>
      </c>
      <c r="S47" s="91" t="str">
        <f>IF(Q47=0,"",Q47*R47)</f>
        <v/>
      </c>
      <c r="T47" s="95">
        <v>56100.0</v>
      </c>
      <c r="U47" s="79" t="str">
        <f t="shared" ref="U47:U51" si="9">IF(Q47=0,"",S47*T47/1000)</f>
        <v/>
      </c>
      <c r="V47" s="88">
        <v>1.0</v>
      </c>
      <c r="W47" s="79" t="str">
        <f t="shared" ref="W47:W51" si="10">IF(Q47=0,"",S47*V47/1000)</f>
        <v/>
      </c>
      <c r="X47" s="88">
        <v>0.1</v>
      </c>
      <c r="Y47" s="79" t="str">
        <f t="shared" ref="Y47:Y51" si="11">IF(Q47=0,"",S47*X47/1000)</f>
        <v/>
      </c>
      <c r="Z47" s="91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ht="12.75" customHeight="1">
      <c r="A48" s="9"/>
      <c r="B48" s="142" t="s">
        <v>242</v>
      </c>
      <c r="C48" s="143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2"/>
      <c r="S48" s="144"/>
      <c r="T48" s="142"/>
      <c r="U48" s="79" t="str">
        <f t="shared" si="9"/>
        <v/>
      </c>
      <c r="V48" s="142"/>
      <c r="W48" s="79" t="str">
        <f t="shared" si="10"/>
        <v/>
      </c>
      <c r="X48" s="143"/>
      <c r="Y48" s="79" t="str">
        <f t="shared" si="11"/>
        <v/>
      </c>
      <c r="Z48" s="144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ht="12.75" customHeight="1">
      <c r="A49" s="9"/>
      <c r="B49" s="88" t="s">
        <v>243</v>
      </c>
      <c r="C49" s="90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4">
        <v>10.0</v>
      </c>
      <c r="S49" s="91" t="str">
        <f t="shared" ref="S49:S51" si="12">IF(Q49=0,"",Q49*R49)</f>
        <v/>
      </c>
      <c r="T49" s="95">
        <v>91700.0</v>
      </c>
      <c r="U49" s="79" t="str">
        <f t="shared" si="9"/>
        <v/>
      </c>
      <c r="V49" s="88">
        <v>30.0</v>
      </c>
      <c r="W49" s="79" t="str">
        <f t="shared" si="10"/>
        <v/>
      </c>
      <c r="X49" s="88">
        <v>4.0</v>
      </c>
      <c r="Y49" s="79" t="str">
        <f t="shared" si="11"/>
        <v/>
      </c>
      <c r="Z49" s="91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ht="12.75" customHeight="1">
      <c r="A50" s="9"/>
      <c r="B50" s="88" t="s">
        <v>244</v>
      </c>
      <c r="C50" s="90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4"/>
      <c r="S50" s="91" t="str">
        <f t="shared" si="12"/>
        <v/>
      </c>
      <c r="T50" s="95">
        <v>143000.0</v>
      </c>
      <c r="U50" s="79" t="str">
        <f t="shared" si="9"/>
        <v/>
      </c>
      <c r="V50" s="88">
        <v>30.0</v>
      </c>
      <c r="W50" s="79" t="str">
        <f t="shared" si="10"/>
        <v/>
      </c>
      <c r="X50" s="88">
        <v>4.0</v>
      </c>
      <c r="Y50" s="79" t="str">
        <f t="shared" si="11"/>
        <v/>
      </c>
      <c r="Z50" s="91" t="str">
        <f>IF(R50=0,"",T50*Y50/10^6)</f>
        <v/>
      </c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ht="12.75" customHeight="1">
      <c r="A51" s="9"/>
      <c r="B51" s="88" t="s">
        <v>245</v>
      </c>
      <c r="C51" s="90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4">
        <v>40.2</v>
      </c>
      <c r="S51" s="91" t="str">
        <f t="shared" si="12"/>
        <v/>
      </c>
      <c r="T51" s="95">
        <v>73300.0</v>
      </c>
      <c r="U51" s="79" t="str">
        <f t="shared" si="9"/>
        <v/>
      </c>
      <c r="V51" s="88">
        <v>30.0</v>
      </c>
      <c r="W51" s="79" t="str">
        <f t="shared" si="10"/>
        <v/>
      </c>
      <c r="X51" s="88">
        <v>4.0</v>
      </c>
      <c r="Y51" s="79" t="str">
        <f t="shared" si="11"/>
        <v/>
      </c>
      <c r="Z51" s="91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ht="12.75" customHeight="1">
      <c r="A52" s="9"/>
      <c r="B52" s="139" t="s">
        <v>246</v>
      </c>
      <c r="C52" s="140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39"/>
      <c r="S52" s="141"/>
      <c r="T52" s="139"/>
      <c r="U52" s="141"/>
      <c r="V52" s="139"/>
      <c r="W52" s="141"/>
      <c r="X52" s="140"/>
      <c r="Y52" s="141"/>
      <c r="Z52" s="141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ht="12.75" customHeight="1">
      <c r="A53" s="9"/>
      <c r="B53" s="88" t="s">
        <v>246</v>
      </c>
      <c r="C53" s="90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144"/>
      <c r="R53" s="94">
        <v>9.76</v>
      </c>
      <c r="S53" s="91" t="str">
        <f>IF(Q53=0,"",Q53*R53)</f>
        <v/>
      </c>
      <c r="T53" s="95">
        <v>106000.0</v>
      </c>
      <c r="U53" s="79" t="str">
        <f>IF(Q53=0,"",S53*T53/1000)</f>
        <v/>
      </c>
      <c r="V53" s="88">
        <v>1.0</v>
      </c>
      <c r="W53" s="79" t="str">
        <f>IF(Q53=0,"",S53*V53/1000)</f>
        <v/>
      </c>
      <c r="X53" s="88">
        <v>1.5</v>
      </c>
      <c r="Y53" s="79" t="str">
        <f>IF(Q53=0,"",S53*X53/1000)</f>
        <v/>
      </c>
      <c r="Z53" s="131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21.0" hidden="1" customHeight="1">
      <c r="A54" s="9"/>
      <c r="B54" s="145" t="s">
        <v>247</v>
      </c>
      <c r="C54" s="146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5"/>
      <c r="S54" s="147"/>
      <c r="T54" s="145"/>
      <c r="U54" s="147">
        <f>SUM(U9:U29,U31:U45,U47,U49:U51,U53)</f>
        <v>7287186.086</v>
      </c>
      <c r="V54" s="145"/>
      <c r="W54" s="147">
        <f>SUM(W9:W29,W31:W45,W47,W49:W51,W53)</f>
        <v>75.98627791</v>
      </c>
      <c r="X54" s="145"/>
      <c r="Y54" s="154">
        <f>SUM(Y9:Y29,Y31:Y45,Y47,Y49:Y51,Y53)</f>
        <v>113.7045434</v>
      </c>
      <c r="Z54" s="148">
        <f>U54+W54*28+Y54*273</f>
        <v>7320355.042</v>
      </c>
      <c r="AA54" s="149"/>
      <c r="AB54" s="9"/>
      <c r="AC54" s="9"/>
      <c r="AD54" s="9"/>
      <c r="AE54" s="9"/>
      <c r="AF54" s="9"/>
      <c r="AG54" s="9"/>
      <c r="AH54" s="9"/>
      <c r="AI54" s="9"/>
      <c r="AJ54" s="9"/>
    </row>
    <row r="55" ht="14.25" hidden="1" customHeight="1">
      <c r="A55" s="9"/>
      <c r="B55" s="150" t="s">
        <v>248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51" t="s">
        <v>254</v>
      </c>
      <c r="U55" s="18"/>
      <c r="V55" s="152"/>
      <c r="W55" s="17"/>
      <c r="X55" s="17"/>
      <c r="Y55" s="27"/>
      <c r="Z55" s="153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ht="12.75" hidden="1" customHeight="1">
      <c r="A56" s="9"/>
      <c r="B56" s="88" t="s">
        <v>250</v>
      </c>
      <c r="C56" s="90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4">
        <v>15.6</v>
      </c>
      <c r="S56" s="91" t="str">
        <f t="shared" ref="S56:S66" si="13">IF(Q56=0,"",Q56*R56)</f>
        <v/>
      </c>
      <c r="T56" s="88"/>
      <c r="U56" s="91"/>
      <c r="V56" s="88">
        <v>30.0</v>
      </c>
      <c r="W56" s="79" t="str">
        <f t="shared" ref="W56:W66" si="14">IF(Q56=0,"",S56*V56/1000)</f>
        <v/>
      </c>
      <c r="X56" s="88">
        <v>4.0</v>
      </c>
      <c r="Y56" s="79" t="str">
        <f t="shared" ref="Y56:Y66" si="15">IF(Q56=0,"",S56*X56/1000)</f>
        <v/>
      </c>
      <c r="Z56" s="71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ht="12.75" hidden="1" customHeight="1">
      <c r="A57" s="9"/>
      <c r="B57" s="88" t="s">
        <v>251</v>
      </c>
      <c r="C57" s="90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4">
        <v>11.8</v>
      </c>
      <c r="S57" s="91" t="str">
        <f t="shared" si="13"/>
        <v/>
      </c>
      <c r="T57" s="88"/>
      <c r="U57" s="91"/>
      <c r="V57" s="88">
        <v>3.0</v>
      </c>
      <c r="W57" s="79" t="str">
        <f t="shared" si="14"/>
        <v/>
      </c>
      <c r="X57" s="88">
        <v>2.0</v>
      </c>
      <c r="Y57" s="79" t="str">
        <f t="shared" si="15"/>
        <v/>
      </c>
      <c r="Z57" s="91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ht="12.75" hidden="1" customHeight="1">
      <c r="A58" s="9"/>
      <c r="B58" s="88" t="s">
        <v>252</v>
      </c>
      <c r="C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79"/>
      <c r="R58" s="94">
        <v>11.6</v>
      </c>
      <c r="S58" s="91" t="str">
        <f t="shared" si="13"/>
        <v/>
      </c>
      <c r="T58" s="88"/>
      <c r="U58" s="91"/>
      <c r="V58" s="155">
        <v>30.0</v>
      </c>
      <c r="W58" s="79" t="str">
        <f t="shared" si="14"/>
        <v/>
      </c>
      <c r="X58" s="88">
        <v>4.0</v>
      </c>
      <c r="Y58" s="79" t="str">
        <f t="shared" si="15"/>
        <v/>
      </c>
      <c r="Z58" s="91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ht="12.75" hidden="1" customHeight="1">
      <c r="A59" s="9"/>
      <c r="B59" s="88" t="s">
        <v>253</v>
      </c>
      <c r="C59" s="90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4">
        <v>41.868</v>
      </c>
      <c r="S59" s="91" t="str">
        <f t="shared" si="13"/>
        <v/>
      </c>
      <c r="T59" s="88"/>
      <c r="U59" s="91"/>
      <c r="V59" s="88">
        <v>200.0</v>
      </c>
      <c r="W59" s="79" t="str">
        <f t="shared" si="14"/>
        <v/>
      </c>
      <c r="X59" s="88">
        <v>4.0</v>
      </c>
      <c r="Y59" s="79" t="str">
        <f t="shared" si="15"/>
        <v/>
      </c>
      <c r="Z59" s="91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ht="12.75" hidden="1" customHeight="1">
      <c r="A60" s="9"/>
      <c r="B60" s="88" t="s">
        <v>255</v>
      </c>
      <c r="C60" s="90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4">
        <v>27.0</v>
      </c>
      <c r="S60" s="91" t="str">
        <f t="shared" si="13"/>
        <v/>
      </c>
      <c r="T60" s="88"/>
      <c r="U60" s="91"/>
      <c r="V60" s="88">
        <v>3.0</v>
      </c>
      <c r="W60" s="79" t="str">
        <f t="shared" si="14"/>
        <v/>
      </c>
      <c r="X60" s="88">
        <v>0.6</v>
      </c>
      <c r="Y60" s="79" t="str">
        <f t="shared" si="15"/>
        <v/>
      </c>
      <c r="Z60" s="91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ht="12.75" hidden="1" customHeight="1">
      <c r="A61" s="9"/>
      <c r="B61" s="88" t="s">
        <v>256</v>
      </c>
      <c r="C61" s="90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4">
        <v>27.0</v>
      </c>
      <c r="S61" s="91" t="str">
        <f t="shared" si="13"/>
        <v/>
      </c>
      <c r="T61" s="88"/>
      <c r="U61" s="91"/>
      <c r="V61" s="88">
        <v>3.0</v>
      </c>
      <c r="W61" s="79" t="str">
        <f t="shared" si="14"/>
        <v/>
      </c>
      <c r="X61" s="88">
        <v>0.6</v>
      </c>
      <c r="Y61" s="79" t="str">
        <f t="shared" si="15"/>
        <v/>
      </c>
      <c r="Z61" s="91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12.75" hidden="1" customHeight="1">
      <c r="A62" s="9"/>
      <c r="B62" s="88" t="s">
        <v>257</v>
      </c>
      <c r="C62" s="90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4">
        <v>27.4</v>
      </c>
      <c r="S62" s="91" t="str">
        <f t="shared" si="13"/>
        <v/>
      </c>
      <c r="T62" s="88"/>
      <c r="U62" s="91"/>
      <c r="V62" s="88">
        <v>3.0</v>
      </c>
      <c r="W62" s="79" t="str">
        <f t="shared" si="14"/>
        <v/>
      </c>
      <c r="X62" s="88">
        <v>0.6</v>
      </c>
      <c r="Y62" s="79" t="str">
        <f t="shared" si="15"/>
        <v/>
      </c>
      <c r="Z62" s="91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ht="12.75" hidden="1" customHeight="1">
      <c r="A63" s="9"/>
      <c r="B63" s="88" t="s">
        <v>258</v>
      </c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4">
        <v>50.4</v>
      </c>
      <c r="S63" s="91" t="str">
        <f t="shared" si="13"/>
        <v/>
      </c>
      <c r="T63" s="88"/>
      <c r="U63" s="91"/>
      <c r="V63" s="88">
        <v>1.0</v>
      </c>
      <c r="W63" s="79" t="str">
        <f t="shared" si="14"/>
        <v/>
      </c>
      <c r="X63" s="88">
        <v>0.1</v>
      </c>
      <c r="Y63" s="79" t="str">
        <f t="shared" si="15"/>
        <v/>
      </c>
      <c r="Z63" s="91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ht="12.75" hidden="1" customHeight="1">
      <c r="A64" s="9"/>
      <c r="B64" s="88" t="s">
        <v>259</v>
      </c>
      <c r="C64" s="90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4">
        <v>50.4</v>
      </c>
      <c r="S64" s="91" t="str">
        <f t="shared" si="13"/>
        <v/>
      </c>
      <c r="T64" s="88"/>
      <c r="U64" s="91"/>
      <c r="V64" s="88">
        <v>1.0</v>
      </c>
      <c r="W64" s="79" t="str">
        <f t="shared" si="14"/>
        <v/>
      </c>
      <c r="X64" s="88">
        <v>0.1</v>
      </c>
      <c r="Y64" s="79" t="str">
        <f t="shared" si="15"/>
        <v/>
      </c>
      <c r="Z64" s="91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ht="12.75" hidden="1" customHeight="1">
      <c r="A65" s="9"/>
      <c r="B65" s="88" t="s">
        <v>260</v>
      </c>
      <c r="C65" s="90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4">
        <v>50.4</v>
      </c>
      <c r="S65" s="91" t="str">
        <f t="shared" si="13"/>
        <v/>
      </c>
      <c r="T65" s="88"/>
      <c r="U65" s="91"/>
      <c r="V65" s="88">
        <v>1.0</v>
      </c>
      <c r="W65" s="79" t="str">
        <f t="shared" si="14"/>
        <v/>
      </c>
      <c r="X65" s="88">
        <v>0.1</v>
      </c>
      <c r="Y65" s="79" t="str">
        <f t="shared" si="15"/>
        <v/>
      </c>
      <c r="Z65" s="91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ht="12.75" hidden="1" customHeight="1">
      <c r="A66" s="9"/>
      <c r="B66" s="88" t="s">
        <v>261</v>
      </c>
      <c r="C66" s="90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4">
        <v>11.6</v>
      </c>
      <c r="S66" s="91" t="str">
        <f t="shared" si="13"/>
        <v/>
      </c>
      <c r="T66" s="88"/>
      <c r="U66" s="91"/>
      <c r="V66" s="88">
        <v>30.0</v>
      </c>
      <c r="W66" s="79" t="str">
        <f t="shared" si="14"/>
        <v/>
      </c>
      <c r="X66" s="88">
        <v>4.0</v>
      </c>
      <c r="Y66" s="79" t="str">
        <f t="shared" si="15"/>
        <v/>
      </c>
      <c r="Z66" s="91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ht="21.0" customHeight="1">
      <c r="A67" s="156"/>
      <c r="B67" s="15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8"/>
      <c r="T67" s="158" t="s">
        <v>247</v>
      </c>
      <c r="U67" s="147">
        <f>U54</f>
        <v>7287186.086</v>
      </c>
      <c r="V67" s="158" t="s">
        <v>247</v>
      </c>
      <c r="W67" s="147">
        <f>SUM(W54,W56:W66)</f>
        <v>75.98627791</v>
      </c>
      <c r="X67" s="158" t="s">
        <v>247</v>
      </c>
      <c r="Y67" s="147">
        <f>SUM(Y54,Y56:Y66)</f>
        <v>113.7045434</v>
      </c>
      <c r="Z67" s="147">
        <f>U67+W67*28+Y67*273</f>
        <v>7320355.042</v>
      </c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ht="12.75" customHeight="1">
      <c r="A68" s="9"/>
      <c r="B68" s="9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9"/>
      <c r="S68" s="11"/>
      <c r="T68" s="9"/>
      <c r="U68" s="11"/>
      <c r="V68" s="9"/>
      <c r="W68" s="11"/>
      <c r="X68" s="9"/>
      <c r="Y68" s="11"/>
      <c r="Z68" s="11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ht="12.75" customHeight="1">
      <c r="A69" s="159"/>
      <c r="B69" s="159"/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 t="s">
        <v>262</v>
      </c>
      <c r="R69" s="159"/>
      <c r="S69" s="161"/>
      <c r="T69" s="159"/>
      <c r="U69" s="161"/>
      <c r="V69" s="159"/>
      <c r="W69" s="161"/>
      <c r="X69" s="159"/>
      <c r="Y69" s="161"/>
      <c r="Z69" s="161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</row>
    <row r="70" ht="12.75" customHeight="1">
      <c r="A70" s="159"/>
      <c r="B70" s="159"/>
      <c r="C70" s="160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2" t="s">
        <v>263</v>
      </c>
      <c r="R70" s="159"/>
      <c r="S70" s="161"/>
      <c r="T70" s="163" t="s">
        <v>264</v>
      </c>
      <c r="U70" s="161"/>
      <c r="V70" s="159"/>
      <c r="W70" s="162" t="s">
        <v>265</v>
      </c>
      <c r="X70" s="159"/>
      <c r="Y70" s="162" t="s">
        <v>266</v>
      </c>
      <c r="Z70" s="162" t="s">
        <v>266</v>
      </c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</row>
    <row r="71" ht="12.75" customHeight="1">
      <c r="A71" s="159"/>
      <c r="B71" s="159"/>
      <c r="C71" s="160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59"/>
      <c r="S71" s="161"/>
      <c r="T71" s="163" t="s">
        <v>267</v>
      </c>
      <c r="U71" s="161"/>
      <c r="V71" s="159"/>
      <c r="W71" s="162" t="s">
        <v>268</v>
      </c>
      <c r="X71" s="159"/>
      <c r="Y71" s="162" t="s">
        <v>269</v>
      </c>
      <c r="Z71" s="162" t="s">
        <v>269</v>
      </c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</row>
    <row r="72" ht="12.75" customHeight="1">
      <c r="A72" s="159"/>
      <c r="B72" s="159"/>
      <c r="C72" s="160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59"/>
      <c r="S72" s="161"/>
      <c r="T72" s="159"/>
      <c r="U72" s="161"/>
      <c r="V72" s="159"/>
      <c r="W72" s="161"/>
      <c r="X72" s="159"/>
      <c r="Y72" s="161"/>
      <c r="Z72" s="161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</row>
    <row r="73" ht="12.75" customHeight="1">
      <c r="A73" s="159"/>
      <c r="B73" s="159"/>
      <c r="C73" s="160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59"/>
      <c r="S73" s="161"/>
      <c r="T73" s="164" t="s">
        <v>270</v>
      </c>
      <c r="U73" s="161"/>
      <c r="V73" s="159"/>
      <c r="W73" s="165" t="s">
        <v>271</v>
      </c>
      <c r="X73" s="159"/>
      <c r="Y73" s="161"/>
      <c r="Z73" s="161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</row>
    <row r="74" ht="12.75" customHeight="1">
      <c r="A74" s="159"/>
      <c r="B74" s="159"/>
      <c r="C74" s="160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59"/>
      <c r="S74" s="161"/>
      <c r="T74" s="159" t="s">
        <v>272</v>
      </c>
      <c r="U74" s="161"/>
      <c r="V74" s="159"/>
      <c r="W74" s="165" t="s">
        <v>273</v>
      </c>
      <c r="X74" s="159"/>
      <c r="Y74" s="161"/>
      <c r="Z74" s="161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</row>
    <row r="75" ht="12.75" customHeight="1">
      <c r="A75" s="159"/>
      <c r="B75" s="159"/>
      <c r="C75" s="160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59"/>
      <c r="S75" s="161"/>
      <c r="T75" s="159" t="s">
        <v>274</v>
      </c>
      <c r="U75" s="161"/>
      <c r="V75" s="159"/>
      <c r="W75" s="165" t="s">
        <v>275</v>
      </c>
      <c r="X75" s="159"/>
      <c r="Y75" s="161"/>
      <c r="Z75" s="161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</row>
    <row r="76" ht="12.75" customHeight="1">
      <c r="A76" s="159"/>
      <c r="B76" s="159"/>
      <c r="C76" s="160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59"/>
      <c r="S76" s="161"/>
      <c r="T76" s="159" t="s">
        <v>276</v>
      </c>
      <c r="U76" s="161"/>
      <c r="V76" s="159"/>
      <c r="W76" s="165" t="s">
        <v>277</v>
      </c>
      <c r="X76" s="159"/>
      <c r="Y76" s="161"/>
      <c r="Z76" s="161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</row>
    <row r="77" ht="12.75" customHeight="1">
      <c r="A77" s="159"/>
      <c r="B77" s="159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59"/>
      <c r="S77" s="161"/>
      <c r="T77" s="159" t="s">
        <v>278</v>
      </c>
      <c r="U77" s="161"/>
      <c r="V77" s="159"/>
      <c r="W77" s="161"/>
      <c r="X77" s="159"/>
      <c r="Y77" s="161"/>
      <c r="Z77" s="161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</row>
    <row r="78" ht="12.75" customHeight="1">
      <c r="A78" s="159"/>
      <c r="B78" s="159"/>
      <c r="C78" s="160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59"/>
      <c r="S78" s="161"/>
      <c r="T78" s="159"/>
      <c r="U78" s="161"/>
      <c r="V78" s="159"/>
      <c r="W78" s="161"/>
      <c r="X78" s="159"/>
      <c r="Y78" s="161"/>
      <c r="Z78" s="161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</row>
    <row r="79" ht="12.75" customHeight="1">
      <c r="A79" s="159"/>
      <c r="B79" s="159"/>
      <c r="C79" s="160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59"/>
      <c r="S79" s="161"/>
      <c r="T79" s="159"/>
      <c r="U79" s="161"/>
      <c r="V79" s="159"/>
      <c r="W79" s="161"/>
      <c r="X79" s="159"/>
      <c r="Y79" s="161"/>
      <c r="Z79" s="161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</row>
    <row r="80" ht="12.75" customHeight="1">
      <c r="A80" s="159"/>
      <c r="B80" s="159"/>
      <c r="C80" s="160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59"/>
      <c r="S80" s="161"/>
      <c r="T80" s="159"/>
      <c r="U80" s="161"/>
      <c r="V80" s="159"/>
      <c r="W80" s="161"/>
      <c r="X80" s="159"/>
      <c r="Y80" s="161"/>
      <c r="Z80" s="161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</row>
    <row r="81" ht="12.75" customHeight="1">
      <c r="A81" s="159"/>
      <c r="B81" s="159"/>
      <c r="C81" s="160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59"/>
      <c r="S81" s="161"/>
      <c r="T81" s="159"/>
      <c r="U81" s="161"/>
      <c r="V81" s="159"/>
      <c r="W81" s="161"/>
      <c r="X81" s="159"/>
      <c r="Y81" s="161"/>
      <c r="Z81" s="161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</row>
    <row r="82" ht="12.75" customHeight="1">
      <c r="A82" s="9"/>
      <c r="B82" s="9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9"/>
      <c r="S82" s="11"/>
      <c r="T82" s="9"/>
      <c r="U82" s="11"/>
      <c r="V82" s="9"/>
      <c r="W82" s="11"/>
      <c r="X82" s="9"/>
      <c r="Y82" s="11"/>
      <c r="Z82" s="11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ht="12.75" customHeight="1">
      <c r="A83" s="9"/>
      <c r="B83" s="9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9"/>
      <c r="S83" s="11"/>
      <c r="T83" s="9"/>
      <c r="U83" s="11"/>
      <c r="V83" s="9"/>
      <c r="W83" s="11"/>
      <c r="X83" s="9"/>
      <c r="Y83" s="11"/>
      <c r="Z83" s="11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ht="12.75" customHeight="1">
      <c r="A84" s="9"/>
      <c r="B84" s="9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9"/>
      <c r="S84" s="11"/>
      <c r="T84" s="9"/>
      <c r="U84" s="11"/>
      <c r="V84" s="9"/>
      <c r="W84" s="11"/>
      <c r="X84" s="9"/>
      <c r="Y84" s="11"/>
      <c r="Z84" s="11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ht="12.75" customHeight="1">
      <c r="A85" s="9"/>
      <c r="B85" s="9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9"/>
      <c r="S85" s="11"/>
      <c r="T85" s="9"/>
      <c r="U85" s="11"/>
      <c r="V85" s="9"/>
      <c r="W85" s="11"/>
      <c r="X85" s="9"/>
      <c r="Y85" s="11"/>
      <c r="Z85" s="11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12.75" customHeight="1">
      <c r="A86" s="9"/>
      <c r="B86" s="9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9"/>
      <c r="S86" s="11"/>
      <c r="T86" s="9"/>
      <c r="U86" s="11"/>
      <c r="V86" s="9"/>
      <c r="W86" s="11"/>
      <c r="X86" s="9"/>
      <c r="Y86" s="11"/>
      <c r="Z86" s="11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ht="12.75" customHeight="1">
      <c r="A87" s="9"/>
      <c r="B87" s="9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9"/>
      <c r="S87" s="11"/>
      <c r="T87" s="9"/>
      <c r="U87" s="11"/>
      <c r="V87" s="9"/>
      <c r="W87" s="11"/>
      <c r="X87" s="9"/>
      <c r="Y87" s="11"/>
      <c r="Z87" s="11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ht="12.75" customHeight="1">
      <c r="A88" s="9"/>
      <c r="B88" s="9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9"/>
      <c r="S88" s="11"/>
      <c r="T88" s="9"/>
      <c r="U88" s="11"/>
      <c r="V88" s="9"/>
      <c r="W88" s="11"/>
      <c r="X88" s="9"/>
      <c r="Y88" s="11"/>
      <c r="Z88" s="11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ht="12.75" customHeight="1">
      <c r="A89" s="9"/>
      <c r="B89" s="9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9"/>
      <c r="S89" s="11"/>
      <c r="T89" s="9"/>
      <c r="U89" s="11"/>
      <c r="V89" s="9"/>
      <c r="W89" s="11"/>
      <c r="X89" s="9"/>
      <c r="Y89" s="11"/>
      <c r="Z89" s="11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ht="12.75" customHeight="1">
      <c r="A90" s="9"/>
      <c r="B90" s="9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9"/>
      <c r="S90" s="11"/>
      <c r="T90" s="9"/>
      <c r="U90" s="11"/>
      <c r="V90" s="9"/>
      <c r="W90" s="11"/>
      <c r="X90" s="9"/>
      <c r="Y90" s="11"/>
      <c r="Z90" s="11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ht="12.75" customHeight="1">
      <c r="A91" s="9"/>
      <c r="B91" s="9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9"/>
      <c r="S91" s="11"/>
      <c r="T91" s="9"/>
      <c r="U91" s="11"/>
      <c r="V91" s="9"/>
      <c r="W91" s="11"/>
      <c r="X91" s="9"/>
      <c r="Y91" s="11"/>
      <c r="Z91" s="11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ht="12.75" customHeight="1">
      <c r="A92" s="9"/>
      <c r="B92" s="9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9"/>
      <c r="S92" s="11"/>
      <c r="T92" s="9"/>
      <c r="U92" s="11"/>
      <c r="V92" s="9"/>
      <c r="W92" s="11"/>
      <c r="X92" s="9"/>
      <c r="Y92" s="11"/>
      <c r="Z92" s="11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ht="12.75" customHeight="1">
      <c r="A93" s="9"/>
      <c r="B93" s="9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9"/>
      <c r="S93" s="11"/>
      <c r="T93" s="9"/>
      <c r="U93" s="11"/>
      <c r="V93" s="9"/>
      <c r="W93" s="11"/>
      <c r="X93" s="9"/>
      <c r="Y93" s="11"/>
      <c r="Z93" s="11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12.75" customHeight="1">
      <c r="A94" s="9"/>
      <c r="B94" s="9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9"/>
      <c r="S94" s="11"/>
      <c r="T94" s="9"/>
      <c r="U94" s="11"/>
      <c r="V94" s="9"/>
      <c r="W94" s="11"/>
      <c r="X94" s="9"/>
      <c r="Y94" s="11"/>
      <c r="Z94" s="11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ht="12.75" customHeight="1">
      <c r="A95" s="9"/>
      <c r="B95" s="9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9"/>
      <c r="S95" s="11"/>
      <c r="T95" s="9"/>
      <c r="U95" s="11"/>
      <c r="V95" s="9"/>
      <c r="W95" s="11"/>
      <c r="X95" s="9"/>
      <c r="Y95" s="11"/>
      <c r="Z95" s="11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ht="12.75" customHeight="1">
      <c r="A96" s="9"/>
      <c r="B96" s="9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9"/>
      <c r="S96" s="11"/>
      <c r="T96" s="9"/>
      <c r="U96" s="11"/>
      <c r="V96" s="9"/>
      <c r="W96" s="11"/>
      <c r="X96" s="9"/>
      <c r="Y96" s="11"/>
      <c r="Z96" s="11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ht="12.75" customHeight="1">
      <c r="A97" s="9"/>
      <c r="B97" s="9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9"/>
      <c r="S97" s="11"/>
      <c r="T97" s="9"/>
      <c r="U97" s="11"/>
      <c r="V97" s="9"/>
      <c r="W97" s="11"/>
      <c r="X97" s="9"/>
      <c r="Y97" s="11"/>
      <c r="Z97" s="11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ht="12.75" customHeight="1">
      <c r="A98" s="9"/>
      <c r="B98" s="9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9"/>
      <c r="S98" s="11"/>
      <c r="T98" s="9"/>
      <c r="U98" s="11"/>
      <c r="V98" s="9"/>
      <c r="W98" s="11"/>
      <c r="X98" s="9"/>
      <c r="Y98" s="11"/>
      <c r="Z98" s="11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ht="12.75" customHeight="1">
      <c r="A99" s="9"/>
      <c r="B99" s="9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9"/>
      <c r="S99" s="11"/>
      <c r="T99" s="9"/>
      <c r="U99" s="11"/>
      <c r="V99" s="9"/>
      <c r="W99" s="11"/>
      <c r="X99" s="9"/>
      <c r="Y99" s="11"/>
      <c r="Z99" s="11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ht="12.75" customHeight="1">
      <c r="A100" s="9"/>
      <c r="B100" s="9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9"/>
      <c r="S100" s="11"/>
      <c r="T100" s="9"/>
      <c r="U100" s="11"/>
      <c r="V100" s="9"/>
      <c r="W100" s="11"/>
      <c r="X100" s="9"/>
      <c r="Y100" s="11"/>
      <c r="Z100" s="11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ht="12.75" customHeight="1">
      <c r="A101" s="9"/>
      <c r="B101" s="9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9"/>
      <c r="S101" s="11"/>
      <c r="T101" s="9"/>
      <c r="U101" s="11"/>
      <c r="V101" s="9"/>
      <c r="W101" s="11"/>
      <c r="X101" s="9"/>
      <c r="Y101" s="11"/>
      <c r="Z101" s="11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12.75" customHeight="1">
      <c r="A102" s="9"/>
      <c r="B102" s="9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9"/>
      <c r="S102" s="11"/>
      <c r="T102" s="9"/>
      <c r="U102" s="11"/>
      <c r="V102" s="9"/>
      <c r="W102" s="11"/>
      <c r="X102" s="9"/>
      <c r="Y102" s="11"/>
      <c r="Z102" s="11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ht="12.75" customHeight="1">
      <c r="A103" s="9"/>
      <c r="B103" s="9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9"/>
      <c r="S103" s="11"/>
      <c r="T103" s="9"/>
      <c r="U103" s="11"/>
      <c r="V103" s="9"/>
      <c r="W103" s="11"/>
      <c r="X103" s="9"/>
      <c r="Y103" s="11"/>
      <c r="Z103" s="11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ht="12.75" customHeight="1">
      <c r="A104" s="9"/>
      <c r="B104" s="9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9"/>
      <c r="S104" s="11"/>
      <c r="T104" s="9"/>
      <c r="U104" s="11"/>
      <c r="V104" s="9"/>
      <c r="W104" s="11"/>
      <c r="X104" s="9"/>
      <c r="Y104" s="11"/>
      <c r="Z104" s="11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ht="12.75" customHeight="1">
      <c r="A105" s="9"/>
      <c r="B105" s="9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9"/>
      <c r="S105" s="11"/>
      <c r="T105" s="9"/>
      <c r="U105" s="11"/>
      <c r="V105" s="9"/>
      <c r="W105" s="11"/>
      <c r="X105" s="9"/>
      <c r="Y105" s="11"/>
      <c r="Z105" s="11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ht="12.75" customHeight="1">
      <c r="A106" s="9"/>
      <c r="B106" s="9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9"/>
      <c r="S106" s="11"/>
      <c r="T106" s="9"/>
      <c r="U106" s="11"/>
      <c r="V106" s="9"/>
      <c r="W106" s="11"/>
      <c r="X106" s="9"/>
      <c r="Y106" s="11"/>
      <c r="Z106" s="11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ht="12.75" customHeight="1">
      <c r="A107" s="9"/>
      <c r="B107" s="9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9"/>
      <c r="S107" s="11"/>
      <c r="T107" s="9"/>
      <c r="U107" s="11"/>
      <c r="V107" s="9"/>
      <c r="W107" s="11"/>
      <c r="X107" s="9"/>
      <c r="Y107" s="11"/>
      <c r="Z107" s="11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ht="12.75" customHeight="1">
      <c r="A108" s="9"/>
      <c r="B108" s="9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9"/>
      <c r="S108" s="11"/>
      <c r="T108" s="9"/>
      <c r="U108" s="11"/>
      <c r="V108" s="9"/>
      <c r="W108" s="11"/>
      <c r="X108" s="9"/>
      <c r="Y108" s="11"/>
      <c r="Z108" s="11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ht="12.75" customHeight="1">
      <c r="A109" s="9"/>
      <c r="B109" s="9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9"/>
      <c r="S109" s="11"/>
      <c r="T109" s="9"/>
      <c r="U109" s="11"/>
      <c r="V109" s="9"/>
      <c r="W109" s="11"/>
      <c r="X109" s="9"/>
      <c r="Y109" s="11"/>
      <c r="Z109" s="11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12.75" customHeight="1">
      <c r="A110" s="9"/>
      <c r="B110" s="9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9"/>
      <c r="S110" s="11"/>
      <c r="T110" s="9"/>
      <c r="U110" s="11"/>
      <c r="V110" s="9"/>
      <c r="W110" s="11"/>
      <c r="X110" s="9"/>
      <c r="Y110" s="11"/>
      <c r="Z110" s="11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ht="12.75" customHeight="1">
      <c r="A111" s="9"/>
      <c r="B111" s="9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9"/>
      <c r="S111" s="11"/>
      <c r="T111" s="9"/>
      <c r="U111" s="11"/>
      <c r="V111" s="9"/>
      <c r="W111" s="11"/>
      <c r="X111" s="9"/>
      <c r="Y111" s="11"/>
      <c r="Z111" s="11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ht="12.75" customHeight="1">
      <c r="A112" s="9"/>
      <c r="B112" s="9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9"/>
      <c r="S112" s="11"/>
      <c r="T112" s="9"/>
      <c r="U112" s="11"/>
      <c r="V112" s="9"/>
      <c r="W112" s="11"/>
      <c r="X112" s="9"/>
      <c r="Y112" s="11"/>
      <c r="Z112" s="11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ht="12.75" customHeight="1">
      <c r="A113" s="9"/>
      <c r="B113" s="9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9"/>
      <c r="S113" s="11"/>
      <c r="T113" s="9"/>
      <c r="U113" s="11"/>
      <c r="V113" s="9"/>
      <c r="W113" s="11"/>
      <c r="X113" s="9"/>
      <c r="Y113" s="11"/>
      <c r="Z113" s="11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ht="12.75" customHeight="1">
      <c r="A114" s="9"/>
      <c r="B114" s="9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9"/>
      <c r="S114" s="11"/>
      <c r="T114" s="9"/>
      <c r="U114" s="11"/>
      <c r="V114" s="9"/>
      <c r="W114" s="11"/>
      <c r="X114" s="9"/>
      <c r="Y114" s="11"/>
      <c r="Z114" s="11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ht="12.75" customHeight="1">
      <c r="A115" s="9"/>
      <c r="B115" s="9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9"/>
      <c r="S115" s="11"/>
      <c r="T115" s="9"/>
      <c r="U115" s="11"/>
      <c r="V115" s="9"/>
      <c r="W115" s="11"/>
      <c r="X115" s="9"/>
      <c r="Y115" s="11"/>
      <c r="Z115" s="11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ht="12.75" customHeight="1">
      <c r="A116" s="9"/>
      <c r="B116" s="9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9"/>
      <c r="S116" s="11"/>
      <c r="T116" s="9"/>
      <c r="U116" s="11"/>
      <c r="V116" s="9"/>
      <c r="W116" s="11"/>
      <c r="X116" s="9"/>
      <c r="Y116" s="11"/>
      <c r="Z116" s="11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ht="12.75" customHeight="1">
      <c r="A117" s="9"/>
      <c r="B117" s="9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9"/>
      <c r="S117" s="11"/>
      <c r="T117" s="9"/>
      <c r="U117" s="11"/>
      <c r="V117" s="9"/>
      <c r="W117" s="11"/>
      <c r="X117" s="9"/>
      <c r="Y117" s="11"/>
      <c r="Z117" s="11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12.75" customHeight="1">
      <c r="A118" s="9"/>
      <c r="B118" s="9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9"/>
      <c r="S118" s="11"/>
      <c r="T118" s="9"/>
      <c r="U118" s="11"/>
      <c r="V118" s="9"/>
      <c r="W118" s="11"/>
      <c r="X118" s="9"/>
      <c r="Y118" s="11"/>
      <c r="Z118" s="11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ht="12.75" customHeight="1">
      <c r="A119" s="9"/>
      <c r="B119" s="9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9"/>
      <c r="S119" s="11"/>
      <c r="T119" s="9"/>
      <c r="U119" s="11"/>
      <c r="V119" s="9"/>
      <c r="W119" s="11"/>
      <c r="X119" s="9"/>
      <c r="Y119" s="11"/>
      <c r="Z119" s="11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ht="12.75" customHeight="1">
      <c r="A120" s="9"/>
      <c r="B120" s="9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9"/>
      <c r="S120" s="11"/>
      <c r="T120" s="9"/>
      <c r="U120" s="11"/>
      <c r="V120" s="9"/>
      <c r="W120" s="11"/>
      <c r="X120" s="9"/>
      <c r="Y120" s="11"/>
      <c r="Z120" s="11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ht="12.75" customHeight="1">
      <c r="A121" s="9"/>
      <c r="B121" s="9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9"/>
      <c r="S121" s="11"/>
      <c r="T121" s="9"/>
      <c r="U121" s="11"/>
      <c r="V121" s="9"/>
      <c r="W121" s="11"/>
      <c r="X121" s="9"/>
      <c r="Y121" s="11"/>
      <c r="Z121" s="11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ht="12.75" customHeight="1">
      <c r="A122" s="9"/>
      <c r="B122" s="9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9"/>
      <c r="S122" s="11"/>
      <c r="T122" s="9"/>
      <c r="U122" s="11"/>
      <c r="V122" s="9"/>
      <c r="W122" s="11"/>
      <c r="X122" s="9"/>
      <c r="Y122" s="11"/>
      <c r="Z122" s="11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ht="12.75" customHeight="1">
      <c r="A123" s="9"/>
      <c r="B123" s="9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9"/>
      <c r="S123" s="11"/>
      <c r="T123" s="9"/>
      <c r="U123" s="11"/>
      <c r="V123" s="9"/>
      <c r="W123" s="11"/>
      <c r="X123" s="9"/>
      <c r="Y123" s="11"/>
      <c r="Z123" s="11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ht="12.75" customHeight="1">
      <c r="A124" s="9"/>
      <c r="B124" s="9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9"/>
      <c r="S124" s="11"/>
      <c r="T124" s="9"/>
      <c r="U124" s="11"/>
      <c r="V124" s="9"/>
      <c r="W124" s="11"/>
      <c r="X124" s="9"/>
      <c r="Y124" s="11"/>
      <c r="Z124" s="11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ht="12.75" customHeight="1">
      <c r="A125" s="9"/>
      <c r="B125" s="9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9"/>
      <c r="S125" s="11"/>
      <c r="T125" s="9"/>
      <c r="U125" s="11"/>
      <c r="V125" s="9"/>
      <c r="W125" s="11"/>
      <c r="X125" s="9"/>
      <c r="Y125" s="11"/>
      <c r="Z125" s="11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12.75" customHeight="1">
      <c r="A126" s="9"/>
      <c r="B126" s="9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9"/>
      <c r="S126" s="11"/>
      <c r="T126" s="9"/>
      <c r="U126" s="11"/>
      <c r="V126" s="9"/>
      <c r="W126" s="11"/>
      <c r="X126" s="9"/>
      <c r="Y126" s="11"/>
      <c r="Z126" s="11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ht="12.75" customHeight="1">
      <c r="A127" s="9"/>
      <c r="B127" s="9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9"/>
      <c r="S127" s="11"/>
      <c r="T127" s="9"/>
      <c r="U127" s="11"/>
      <c r="V127" s="9"/>
      <c r="W127" s="11"/>
      <c r="X127" s="9"/>
      <c r="Y127" s="11"/>
      <c r="Z127" s="11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ht="12.75" customHeight="1">
      <c r="A128" s="9"/>
      <c r="B128" s="9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9"/>
      <c r="S128" s="11"/>
      <c r="T128" s="9"/>
      <c r="U128" s="11"/>
      <c r="V128" s="9"/>
      <c r="W128" s="11"/>
      <c r="X128" s="9"/>
      <c r="Y128" s="11"/>
      <c r="Z128" s="11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ht="12.75" customHeight="1">
      <c r="A129" s="9"/>
      <c r="B129" s="9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9"/>
      <c r="S129" s="11"/>
      <c r="T129" s="9"/>
      <c r="U129" s="11"/>
      <c r="V129" s="9"/>
      <c r="W129" s="11"/>
      <c r="X129" s="9"/>
      <c r="Y129" s="11"/>
      <c r="Z129" s="11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ht="12.75" customHeight="1">
      <c r="A130" s="9"/>
      <c r="B130" s="9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9"/>
      <c r="S130" s="11"/>
      <c r="T130" s="9"/>
      <c r="U130" s="11"/>
      <c r="V130" s="9"/>
      <c r="W130" s="11"/>
      <c r="X130" s="9"/>
      <c r="Y130" s="11"/>
      <c r="Z130" s="11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ht="12.75" customHeight="1">
      <c r="A131" s="9"/>
      <c r="B131" s="9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9"/>
      <c r="S131" s="11"/>
      <c r="T131" s="9"/>
      <c r="U131" s="11"/>
      <c r="V131" s="9"/>
      <c r="W131" s="11"/>
      <c r="X131" s="9"/>
      <c r="Y131" s="11"/>
      <c r="Z131" s="11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ht="12.75" customHeight="1">
      <c r="A132" s="9"/>
      <c r="B132" s="9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9"/>
      <c r="S132" s="11"/>
      <c r="T132" s="9"/>
      <c r="U132" s="11"/>
      <c r="V132" s="9"/>
      <c r="W132" s="11"/>
      <c r="X132" s="9"/>
      <c r="Y132" s="11"/>
      <c r="Z132" s="11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ht="12.75" customHeight="1">
      <c r="A133" s="9"/>
      <c r="B133" s="9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9"/>
      <c r="S133" s="11"/>
      <c r="T133" s="9"/>
      <c r="U133" s="11"/>
      <c r="V133" s="9"/>
      <c r="W133" s="11"/>
      <c r="X133" s="9"/>
      <c r="Y133" s="11"/>
      <c r="Z133" s="11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12.75" customHeight="1">
      <c r="A134" s="9"/>
      <c r="B134" s="9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9"/>
      <c r="S134" s="11"/>
      <c r="T134" s="9"/>
      <c r="U134" s="11"/>
      <c r="V134" s="9"/>
      <c r="W134" s="11"/>
      <c r="X134" s="9"/>
      <c r="Y134" s="11"/>
      <c r="Z134" s="11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ht="12.75" customHeight="1">
      <c r="A135" s="9"/>
      <c r="B135" s="9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9"/>
      <c r="S135" s="11"/>
      <c r="T135" s="9"/>
      <c r="U135" s="11"/>
      <c r="V135" s="9"/>
      <c r="W135" s="11"/>
      <c r="X135" s="9"/>
      <c r="Y135" s="11"/>
      <c r="Z135" s="11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ht="12.75" customHeight="1">
      <c r="A136" s="9"/>
      <c r="B136" s="9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9"/>
      <c r="S136" s="11"/>
      <c r="T136" s="9"/>
      <c r="U136" s="11"/>
      <c r="V136" s="9"/>
      <c r="W136" s="11"/>
      <c r="X136" s="9"/>
      <c r="Y136" s="11"/>
      <c r="Z136" s="11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ht="12.75" customHeight="1">
      <c r="A137" s="9"/>
      <c r="B137" s="9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9"/>
      <c r="S137" s="11"/>
      <c r="T137" s="9"/>
      <c r="U137" s="11"/>
      <c r="V137" s="9"/>
      <c r="W137" s="11"/>
      <c r="X137" s="9"/>
      <c r="Y137" s="11"/>
      <c r="Z137" s="11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ht="12.75" customHeight="1">
      <c r="A138" s="9"/>
      <c r="B138" s="9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9"/>
      <c r="S138" s="11"/>
      <c r="T138" s="9"/>
      <c r="U138" s="11"/>
      <c r="V138" s="9"/>
      <c r="W138" s="11"/>
      <c r="X138" s="9"/>
      <c r="Y138" s="11"/>
      <c r="Z138" s="11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ht="12.75" customHeight="1">
      <c r="A139" s="9"/>
      <c r="B139" s="9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9"/>
      <c r="S139" s="11"/>
      <c r="T139" s="9"/>
      <c r="U139" s="11"/>
      <c r="V139" s="9"/>
      <c r="W139" s="11"/>
      <c r="X139" s="9"/>
      <c r="Y139" s="11"/>
      <c r="Z139" s="11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ht="12.75" customHeight="1">
      <c r="A140" s="9"/>
      <c r="B140" s="9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9"/>
      <c r="S140" s="11"/>
      <c r="T140" s="9"/>
      <c r="U140" s="11"/>
      <c r="V140" s="9"/>
      <c r="W140" s="11"/>
      <c r="X140" s="9"/>
      <c r="Y140" s="11"/>
      <c r="Z140" s="11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ht="12.75" customHeight="1">
      <c r="A141" s="9"/>
      <c r="B141" s="9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9"/>
      <c r="S141" s="11"/>
      <c r="T141" s="9"/>
      <c r="U141" s="11"/>
      <c r="V141" s="9"/>
      <c r="W141" s="11"/>
      <c r="X141" s="9"/>
      <c r="Y141" s="11"/>
      <c r="Z141" s="11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12.75" customHeight="1">
      <c r="A142" s="9"/>
      <c r="B142" s="9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9"/>
      <c r="S142" s="11"/>
      <c r="T142" s="9"/>
      <c r="U142" s="11"/>
      <c r="V142" s="9"/>
      <c r="W142" s="11"/>
      <c r="X142" s="9"/>
      <c r="Y142" s="11"/>
      <c r="Z142" s="11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ht="12.75" customHeight="1">
      <c r="A143" s="9"/>
      <c r="B143" s="9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9"/>
      <c r="S143" s="11"/>
      <c r="T143" s="9"/>
      <c r="U143" s="11"/>
      <c r="V143" s="9"/>
      <c r="W143" s="11"/>
      <c r="X143" s="9"/>
      <c r="Y143" s="11"/>
      <c r="Z143" s="11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ht="12.75" customHeight="1">
      <c r="A144" s="9"/>
      <c r="B144" s="9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9"/>
      <c r="S144" s="11"/>
      <c r="T144" s="9"/>
      <c r="U144" s="11"/>
      <c r="V144" s="9"/>
      <c r="W144" s="11"/>
      <c r="X144" s="9"/>
      <c r="Y144" s="11"/>
      <c r="Z144" s="11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ht="12.75" customHeight="1">
      <c r="A145" s="9"/>
      <c r="B145" s="9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9"/>
      <c r="S145" s="11"/>
      <c r="T145" s="9"/>
      <c r="U145" s="11"/>
      <c r="V145" s="9"/>
      <c r="W145" s="11"/>
      <c r="X145" s="9"/>
      <c r="Y145" s="11"/>
      <c r="Z145" s="11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ht="12.75" customHeight="1">
      <c r="A146" s="9"/>
      <c r="B146" s="9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9"/>
      <c r="S146" s="11"/>
      <c r="T146" s="9"/>
      <c r="U146" s="11"/>
      <c r="V146" s="9"/>
      <c r="W146" s="11"/>
      <c r="X146" s="9"/>
      <c r="Y146" s="11"/>
      <c r="Z146" s="11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ht="12.75" customHeight="1">
      <c r="A147" s="9"/>
      <c r="B147" s="9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9"/>
      <c r="S147" s="11"/>
      <c r="T147" s="9"/>
      <c r="U147" s="11"/>
      <c r="V147" s="9"/>
      <c r="W147" s="11"/>
      <c r="X147" s="9"/>
      <c r="Y147" s="11"/>
      <c r="Z147" s="11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ht="12.75" customHeight="1">
      <c r="A148" s="9"/>
      <c r="B148" s="9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9"/>
      <c r="S148" s="11"/>
      <c r="T148" s="9"/>
      <c r="U148" s="11"/>
      <c r="V148" s="9"/>
      <c r="W148" s="11"/>
      <c r="X148" s="9"/>
      <c r="Y148" s="11"/>
      <c r="Z148" s="11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ht="12.75" customHeight="1">
      <c r="A149" s="9"/>
      <c r="B149" s="9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9"/>
      <c r="S149" s="11"/>
      <c r="T149" s="9"/>
      <c r="U149" s="11"/>
      <c r="V149" s="9"/>
      <c r="W149" s="11"/>
      <c r="X149" s="9"/>
      <c r="Y149" s="11"/>
      <c r="Z149" s="11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12.75" customHeight="1">
      <c r="A150" s="9"/>
      <c r="B150" s="9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9"/>
      <c r="S150" s="11"/>
      <c r="T150" s="9"/>
      <c r="U150" s="11"/>
      <c r="V150" s="9"/>
      <c r="W150" s="11"/>
      <c r="X150" s="9"/>
      <c r="Y150" s="11"/>
      <c r="Z150" s="11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ht="12.75" customHeight="1">
      <c r="A151" s="9"/>
      <c r="B151" s="9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9"/>
      <c r="S151" s="11"/>
      <c r="T151" s="9"/>
      <c r="U151" s="11"/>
      <c r="V151" s="9"/>
      <c r="W151" s="11"/>
      <c r="X151" s="9"/>
      <c r="Y151" s="11"/>
      <c r="Z151" s="11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ht="12.75" customHeight="1">
      <c r="A152" s="9"/>
      <c r="B152" s="9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9"/>
      <c r="S152" s="11"/>
      <c r="T152" s="9"/>
      <c r="U152" s="11"/>
      <c r="V152" s="9"/>
      <c r="W152" s="11"/>
      <c r="X152" s="9"/>
      <c r="Y152" s="11"/>
      <c r="Z152" s="11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ht="12.75" customHeight="1">
      <c r="A153" s="9"/>
      <c r="B153" s="9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9"/>
      <c r="S153" s="11"/>
      <c r="T153" s="9"/>
      <c r="U153" s="11"/>
      <c r="V153" s="9"/>
      <c r="W153" s="11"/>
      <c r="X153" s="9"/>
      <c r="Y153" s="11"/>
      <c r="Z153" s="11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ht="12.75" customHeight="1">
      <c r="A154" s="9"/>
      <c r="B154" s="9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9"/>
      <c r="S154" s="11"/>
      <c r="T154" s="9"/>
      <c r="U154" s="11"/>
      <c r="V154" s="9"/>
      <c r="W154" s="11"/>
      <c r="X154" s="9"/>
      <c r="Y154" s="11"/>
      <c r="Z154" s="11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ht="12.75" customHeight="1">
      <c r="A155" s="9"/>
      <c r="B155" s="9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9"/>
      <c r="S155" s="11"/>
      <c r="T155" s="9"/>
      <c r="U155" s="11"/>
      <c r="V155" s="9"/>
      <c r="W155" s="11"/>
      <c r="X155" s="9"/>
      <c r="Y155" s="11"/>
      <c r="Z155" s="11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ht="12.75" customHeight="1">
      <c r="A156" s="9"/>
      <c r="B156" s="9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9"/>
      <c r="S156" s="11"/>
      <c r="T156" s="9"/>
      <c r="U156" s="11"/>
      <c r="V156" s="9"/>
      <c r="W156" s="11"/>
      <c r="X156" s="9"/>
      <c r="Y156" s="11"/>
      <c r="Z156" s="11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ht="12.75" customHeight="1">
      <c r="A157" s="9"/>
      <c r="B157" s="9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9"/>
      <c r="S157" s="11"/>
      <c r="T157" s="9"/>
      <c r="U157" s="11"/>
      <c r="V157" s="9"/>
      <c r="W157" s="11"/>
      <c r="X157" s="9"/>
      <c r="Y157" s="11"/>
      <c r="Z157" s="11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12.75" customHeight="1">
      <c r="A158" s="9"/>
      <c r="B158" s="9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9"/>
      <c r="S158" s="11"/>
      <c r="T158" s="9"/>
      <c r="U158" s="11"/>
      <c r="V158" s="9"/>
      <c r="W158" s="11"/>
      <c r="X158" s="9"/>
      <c r="Y158" s="11"/>
      <c r="Z158" s="11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ht="12.75" customHeight="1">
      <c r="A159" s="9"/>
      <c r="B159" s="9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9"/>
      <c r="S159" s="11"/>
      <c r="T159" s="9"/>
      <c r="U159" s="11"/>
      <c r="V159" s="9"/>
      <c r="W159" s="11"/>
      <c r="X159" s="9"/>
      <c r="Y159" s="11"/>
      <c r="Z159" s="11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ht="12.75" customHeight="1">
      <c r="A160" s="9"/>
      <c r="B160" s="9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9"/>
      <c r="S160" s="11"/>
      <c r="T160" s="9"/>
      <c r="U160" s="11"/>
      <c r="V160" s="9"/>
      <c r="W160" s="11"/>
      <c r="X160" s="9"/>
      <c r="Y160" s="11"/>
      <c r="Z160" s="11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ht="12.75" customHeight="1">
      <c r="A161" s="9"/>
      <c r="B161" s="9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9"/>
      <c r="S161" s="11"/>
      <c r="T161" s="9"/>
      <c r="U161" s="11"/>
      <c r="V161" s="9"/>
      <c r="W161" s="11"/>
      <c r="X161" s="9"/>
      <c r="Y161" s="11"/>
      <c r="Z161" s="11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ht="12.75" customHeight="1">
      <c r="A162" s="9"/>
      <c r="B162" s="9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9"/>
      <c r="S162" s="11"/>
      <c r="T162" s="9"/>
      <c r="U162" s="11"/>
      <c r="V162" s="9"/>
      <c r="W162" s="11"/>
      <c r="X162" s="9"/>
      <c r="Y162" s="11"/>
      <c r="Z162" s="11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ht="12.75" customHeight="1">
      <c r="A163" s="9"/>
      <c r="B163" s="9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9"/>
      <c r="S163" s="11"/>
      <c r="T163" s="9"/>
      <c r="U163" s="11"/>
      <c r="V163" s="9"/>
      <c r="W163" s="11"/>
      <c r="X163" s="9"/>
      <c r="Y163" s="11"/>
      <c r="Z163" s="11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ht="12.75" customHeight="1">
      <c r="A164" s="9"/>
      <c r="B164" s="9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9"/>
      <c r="S164" s="11"/>
      <c r="T164" s="9"/>
      <c r="U164" s="11"/>
      <c r="V164" s="9"/>
      <c r="W164" s="11"/>
      <c r="X164" s="9"/>
      <c r="Y164" s="11"/>
      <c r="Z164" s="11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ht="12.75" customHeight="1">
      <c r="A165" s="9"/>
      <c r="B165" s="9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9"/>
      <c r="S165" s="11"/>
      <c r="T165" s="9"/>
      <c r="U165" s="11"/>
      <c r="V165" s="9"/>
      <c r="W165" s="11"/>
      <c r="X165" s="9"/>
      <c r="Y165" s="11"/>
      <c r="Z165" s="11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12.75" customHeight="1">
      <c r="A166" s="9"/>
      <c r="B166" s="9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9"/>
      <c r="S166" s="11"/>
      <c r="T166" s="9"/>
      <c r="U166" s="11"/>
      <c r="V166" s="9"/>
      <c r="W166" s="11"/>
      <c r="X166" s="9"/>
      <c r="Y166" s="11"/>
      <c r="Z166" s="11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ht="12.75" customHeight="1">
      <c r="A167" s="9"/>
      <c r="B167" s="9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9"/>
      <c r="S167" s="11"/>
      <c r="T167" s="9"/>
      <c r="U167" s="11"/>
      <c r="V167" s="9"/>
      <c r="W167" s="11"/>
      <c r="X167" s="9"/>
      <c r="Y167" s="11"/>
      <c r="Z167" s="11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ht="12.75" customHeight="1">
      <c r="A168" s="9"/>
      <c r="B168" s="9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9"/>
      <c r="S168" s="11"/>
      <c r="T168" s="9"/>
      <c r="U168" s="11"/>
      <c r="V168" s="9"/>
      <c r="W168" s="11"/>
      <c r="X168" s="9"/>
      <c r="Y168" s="11"/>
      <c r="Z168" s="11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ht="12.75" customHeight="1">
      <c r="A169" s="9"/>
      <c r="B169" s="9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9"/>
      <c r="S169" s="11"/>
      <c r="T169" s="9"/>
      <c r="U169" s="11"/>
      <c r="V169" s="9"/>
      <c r="W169" s="11"/>
      <c r="X169" s="9"/>
      <c r="Y169" s="11"/>
      <c r="Z169" s="11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ht="12.75" customHeight="1">
      <c r="A170" s="9"/>
      <c r="B170" s="9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9"/>
      <c r="S170" s="11"/>
      <c r="T170" s="9"/>
      <c r="U170" s="11"/>
      <c r="V170" s="9"/>
      <c r="W170" s="11"/>
      <c r="X170" s="9"/>
      <c r="Y170" s="11"/>
      <c r="Z170" s="11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ht="12.75" customHeight="1">
      <c r="A171" s="9"/>
      <c r="B171" s="9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9"/>
      <c r="S171" s="11"/>
      <c r="T171" s="9"/>
      <c r="U171" s="11"/>
      <c r="V171" s="9"/>
      <c r="W171" s="11"/>
      <c r="X171" s="9"/>
      <c r="Y171" s="11"/>
      <c r="Z171" s="11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ht="12.75" customHeight="1">
      <c r="A172" s="9"/>
      <c r="B172" s="9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9"/>
      <c r="S172" s="11"/>
      <c r="T172" s="9"/>
      <c r="U172" s="11"/>
      <c r="V172" s="9"/>
      <c r="W172" s="11"/>
      <c r="X172" s="9"/>
      <c r="Y172" s="11"/>
      <c r="Z172" s="11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ht="12.75" customHeight="1">
      <c r="A173" s="9"/>
      <c r="B173" s="9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9"/>
      <c r="S173" s="11"/>
      <c r="T173" s="9"/>
      <c r="U173" s="11"/>
      <c r="V173" s="9"/>
      <c r="W173" s="11"/>
      <c r="X173" s="9"/>
      <c r="Y173" s="11"/>
      <c r="Z173" s="11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12.75" customHeight="1">
      <c r="A174" s="9"/>
      <c r="B174" s="9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9"/>
      <c r="S174" s="11"/>
      <c r="T174" s="9"/>
      <c r="U174" s="11"/>
      <c r="V174" s="9"/>
      <c r="W174" s="11"/>
      <c r="X174" s="9"/>
      <c r="Y174" s="11"/>
      <c r="Z174" s="11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12.75" customHeight="1">
      <c r="A175" s="9"/>
      <c r="B175" s="9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9"/>
      <c r="S175" s="11"/>
      <c r="T175" s="9"/>
      <c r="U175" s="11"/>
      <c r="V175" s="9"/>
      <c r="W175" s="11"/>
      <c r="X175" s="9"/>
      <c r="Y175" s="11"/>
      <c r="Z175" s="11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12.75" customHeight="1">
      <c r="A176" s="9"/>
      <c r="B176" s="9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9"/>
      <c r="S176" s="11"/>
      <c r="T176" s="9"/>
      <c r="U176" s="11"/>
      <c r="V176" s="9"/>
      <c r="W176" s="11"/>
      <c r="X176" s="9"/>
      <c r="Y176" s="11"/>
      <c r="Z176" s="11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12.75" customHeight="1">
      <c r="A177" s="9"/>
      <c r="B177" s="9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9"/>
      <c r="S177" s="11"/>
      <c r="T177" s="9"/>
      <c r="U177" s="11"/>
      <c r="V177" s="9"/>
      <c r="W177" s="11"/>
      <c r="X177" s="9"/>
      <c r="Y177" s="11"/>
      <c r="Z177" s="11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12.75" customHeight="1">
      <c r="A178" s="9"/>
      <c r="B178" s="9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9"/>
      <c r="S178" s="11"/>
      <c r="T178" s="9"/>
      <c r="U178" s="11"/>
      <c r="V178" s="9"/>
      <c r="W178" s="11"/>
      <c r="X178" s="9"/>
      <c r="Y178" s="11"/>
      <c r="Z178" s="11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12.75" customHeight="1">
      <c r="A179" s="9"/>
      <c r="B179" s="9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9"/>
      <c r="S179" s="11"/>
      <c r="T179" s="9"/>
      <c r="U179" s="11"/>
      <c r="V179" s="9"/>
      <c r="W179" s="11"/>
      <c r="X179" s="9"/>
      <c r="Y179" s="11"/>
      <c r="Z179" s="11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12.75" customHeight="1">
      <c r="A180" s="9"/>
      <c r="B180" s="9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9"/>
      <c r="S180" s="11"/>
      <c r="T180" s="9"/>
      <c r="U180" s="11"/>
      <c r="V180" s="9"/>
      <c r="W180" s="11"/>
      <c r="X180" s="9"/>
      <c r="Y180" s="11"/>
      <c r="Z180" s="11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12.75" customHeight="1">
      <c r="A181" s="9"/>
      <c r="B181" s="9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9"/>
      <c r="S181" s="11"/>
      <c r="T181" s="9"/>
      <c r="U181" s="11"/>
      <c r="V181" s="9"/>
      <c r="W181" s="11"/>
      <c r="X181" s="9"/>
      <c r="Y181" s="11"/>
      <c r="Z181" s="11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12.75" customHeight="1">
      <c r="A182" s="9"/>
      <c r="B182" s="9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9"/>
      <c r="S182" s="11"/>
      <c r="T182" s="9"/>
      <c r="U182" s="11"/>
      <c r="V182" s="9"/>
      <c r="W182" s="11"/>
      <c r="X182" s="9"/>
      <c r="Y182" s="11"/>
      <c r="Z182" s="11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12.75" customHeight="1">
      <c r="A183" s="9"/>
      <c r="B183" s="9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9"/>
      <c r="S183" s="11"/>
      <c r="T183" s="9"/>
      <c r="U183" s="11"/>
      <c r="V183" s="9"/>
      <c r="W183" s="11"/>
      <c r="X183" s="9"/>
      <c r="Y183" s="11"/>
      <c r="Z183" s="11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12.75" customHeight="1">
      <c r="A184" s="9"/>
      <c r="B184" s="9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9"/>
      <c r="S184" s="11"/>
      <c r="T184" s="9"/>
      <c r="U184" s="11"/>
      <c r="V184" s="9"/>
      <c r="W184" s="11"/>
      <c r="X184" s="9"/>
      <c r="Y184" s="11"/>
      <c r="Z184" s="11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12.75" customHeight="1">
      <c r="A185" s="9"/>
      <c r="B185" s="9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9"/>
      <c r="S185" s="11"/>
      <c r="T185" s="9"/>
      <c r="U185" s="11"/>
      <c r="V185" s="9"/>
      <c r="W185" s="11"/>
      <c r="X185" s="9"/>
      <c r="Y185" s="11"/>
      <c r="Z185" s="11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12.75" customHeight="1">
      <c r="A186" s="9"/>
      <c r="B186" s="9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9"/>
      <c r="S186" s="11"/>
      <c r="T186" s="9"/>
      <c r="U186" s="11"/>
      <c r="V186" s="9"/>
      <c r="W186" s="11"/>
      <c r="X186" s="9"/>
      <c r="Y186" s="11"/>
      <c r="Z186" s="11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12.75" customHeight="1">
      <c r="A187" s="9"/>
      <c r="B187" s="9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9"/>
      <c r="S187" s="11"/>
      <c r="T187" s="9"/>
      <c r="U187" s="11"/>
      <c r="V187" s="9"/>
      <c r="W187" s="11"/>
      <c r="X187" s="9"/>
      <c r="Y187" s="11"/>
      <c r="Z187" s="11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12.75" customHeight="1">
      <c r="A188" s="9"/>
      <c r="B188" s="9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9"/>
      <c r="S188" s="11"/>
      <c r="T188" s="9"/>
      <c r="U188" s="11"/>
      <c r="V188" s="9"/>
      <c r="W188" s="11"/>
      <c r="X188" s="9"/>
      <c r="Y188" s="11"/>
      <c r="Z188" s="11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12.75" customHeight="1">
      <c r="A189" s="9"/>
      <c r="B189" s="9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9"/>
      <c r="S189" s="11"/>
      <c r="T189" s="9"/>
      <c r="U189" s="11"/>
      <c r="V189" s="9"/>
      <c r="W189" s="11"/>
      <c r="X189" s="9"/>
      <c r="Y189" s="11"/>
      <c r="Z189" s="11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12.75" customHeight="1">
      <c r="A190" s="9"/>
      <c r="B190" s="9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9"/>
      <c r="S190" s="11"/>
      <c r="T190" s="9"/>
      <c r="U190" s="11"/>
      <c r="V190" s="9"/>
      <c r="W190" s="11"/>
      <c r="X190" s="9"/>
      <c r="Y190" s="11"/>
      <c r="Z190" s="11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12.75" customHeight="1">
      <c r="A191" s="9"/>
      <c r="B191" s="9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9"/>
      <c r="S191" s="11"/>
      <c r="T191" s="9"/>
      <c r="U191" s="11"/>
      <c r="V191" s="9"/>
      <c r="W191" s="11"/>
      <c r="X191" s="9"/>
      <c r="Y191" s="11"/>
      <c r="Z191" s="11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12.75" customHeight="1">
      <c r="A192" s="9"/>
      <c r="B192" s="9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9"/>
      <c r="S192" s="11"/>
      <c r="T192" s="9"/>
      <c r="U192" s="11"/>
      <c r="V192" s="9"/>
      <c r="W192" s="11"/>
      <c r="X192" s="9"/>
      <c r="Y192" s="11"/>
      <c r="Z192" s="11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12.75" customHeight="1">
      <c r="A193" s="9"/>
      <c r="B193" s="9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9"/>
      <c r="S193" s="11"/>
      <c r="T193" s="9"/>
      <c r="U193" s="11"/>
      <c r="V193" s="9"/>
      <c r="W193" s="11"/>
      <c r="X193" s="9"/>
      <c r="Y193" s="11"/>
      <c r="Z193" s="11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12.75" customHeight="1">
      <c r="A194" s="9"/>
      <c r="B194" s="9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9"/>
      <c r="S194" s="11"/>
      <c r="T194" s="9"/>
      <c r="U194" s="11"/>
      <c r="V194" s="9"/>
      <c r="W194" s="11"/>
      <c r="X194" s="9"/>
      <c r="Y194" s="11"/>
      <c r="Z194" s="11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12.75" customHeight="1">
      <c r="A195" s="9"/>
      <c r="B195" s="9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9"/>
      <c r="S195" s="11"/>
      <c r="T195" s="9"/>
      <c r="U195" s="11"/>
      <c r="V195" s="9"/>
      <c r="W195" s="11"/>
      <c r="X195" s="9"/>
      <c r="Y195" s="11"/>
      <c r="Z195" s="11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12.75" customHeight="1">
      <c r="A196" s="9"/>
      <c r="B196" s="9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9"/>
      <c r="S196" s="11"/>
      <c r="T196" s="9"/>
      <c r="U196" s="11"/>
      <c r="V196" s="9"/>
      <c r="W196" s="11"/>
      <c r="X196" s="9"/>
      <c r="Y196" s="11"/>
      <c r="Z196" s="11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12.75" customHeight="1">
      <c r="A197" s="9"/>
      <c r="B197" s="9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9"/>
      <c r="S197" s="11"/>
      <c r="T197" s="9"/>
      <c r="U197" s="11"/>
      <c r="V197" s="9"/>
      <c r="W197" s="11"/>
      <c r="X197" s="9"/>
      <c r="Y197" s="11"/>
      <c r="Z197" s="11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12.75" customHeight="1">
      <c r="A198" s="9"/>
      <c r="B198" s="9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9"/>
      <c r="S198" s="11"/>
      <c r="T198" s="9"/>
      <c r="U198" s="11"/>
      <c r="V198" s="9"/>
      <c r="W198" s="11"/>
      <c r="X198" s="9"/>
      <c r="Y198" s="11"/>
      <c r="Z198" s="11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12.75" customHeight="1">
      <c r="A199" s="9"/>
      <c r="B199" s="9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9"/>
      <c r="S199" s="11"/>
      <c r="T199" s="9"/>
      <c r="U199" s="11"/>
      <c r="V199" s="9"/>
      <c r="W199" s="11"/>
      <c r="X199" s="9"/>
      <c r="Y199" s="11"/>
      <c r="Z199" s="11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12.75" customHeight="1">
      <c r="A200" s="9"/>
      <c r="B200" s="9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9"/>
      <c r="S200" s="11"/>
      <c r="T200" s="9"/>
      <c r="U200" s="11"/>
      <c r="V200" s="9"/>
      <c r="W200" s="11"/>
      <c r="X200" s="9"/>
      <c r="Y200" s="11"/>
      <c r="Z200" s="11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12.75" customHeight="1">
      <c r="A201" s="9"/>
      <c r="B201" s="9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9"/>
      <c r="S201" s="11"/>
      <c r="T201" s="9"/>
      <c r="U201" s="11"/>
      <c r="V201" s="9"/>
      <c r="W201" s="11"/>
      <c r="X201" s="9"/>
      <c r="Y201" s="11"/>
      <c r="Z201" s="11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12.75" customHeight="1">
      <c r="A202" s="9"/>
      <c r="B202" s="9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9"/>
      <c r="S202" s="11"/>
      <c r="T202" s="9"/>
      <c r="U202" s="11"/>
      <c r="V202" s="9"/>
      <c r="W202" s="11"/>
      <c r="X202" s="9"/>
      <c r="Y202" s="11"/>
      <c r="Z202" s="11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12.75" customHeight="1">
      <c r="A203" s="9"/>
      <c r="B203" s="9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9"/>
      <c r="S203" s="11"/>
      <c r="T203" s="9"/>
      <c r="U203" s="11"/>
      <c r="V203" s="9"/>
      <c r="W203" s="11"/>
      <c r="X203" s="9"/>
      <c r="Y203" s="11"/>
      <c r="Z203" s="11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12.75" customHeight="1">
      <c r="A204" s="9"/>
      <c r="B204" s="9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9"/>
      <c r="S204" s="11"/>
      <c r="T204" s="9"/>
      <c r="U204" s="11"/>
      <c r="V204" s="9"/>
      <c r="W204" s="11"/>
      <c r="X204" s="9"/>
      <c r="Y204" s="11"/>
      <c r="Z204" s="11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ht="12.75" customHeight="1">
      <c r="A205" s="9"/>
      <c r="B205" s="9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9"/>
      <c r="S205" s="11"/>
      <c r="T205" s="9"/>
      <c r="U205" s="11"/>
      <c r="V205" s="9"/>
      <c r="W205" s="11"/>
      <c r="X205" s="9"/>
      <c r="Y205" s="11"/>
      <c r="Z205" s="11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12.75" customHeight="1">
      <c r="A206" s="9"/>
      <c r="B206" s="9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9"/>
      <c r="S206" s="11"/>
      <c r="T206" s="9"/>
      <c r="U206" s="11"/>
      <c r="V206" s="9"/>
      <c r="W206" s="11"/>
      <c r="X206" s="9"/>
      <c r="Y206" s="11"/>
      <c r="Z206" s="11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12.75" customHeight="1">
      <c r="A207" s="9"/>
      <c r="B207" s="9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9"/>
      <c r="S207" s="11"/>
      <c r="T207" s="9"/>
      <c r="U207" s="11"/>
      <c r="V207" s="9"/>
      <c r="W207" s="11"/>
      <c r="X207" s="9"/>
      <c r="Y207" s="11"/>
      <c r="Z207" s="11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12.75" customHeight="1">
      <c r="A208" s="9"/>
      <c r="B208" s="9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9"/>
      <c r="S208" s="11"/>
      <c r="T208" s="9"/>
      <c r="U208" s="11"/>
      <c r="V208" s="9"/>
      <c r="W208" s="11"/>
      <c r="X208" s="9"/>
      <c r="Y208" s="11"/>
      <c r="Z208" s="11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12.75" customHeight="1">
      <c r="A209" s="9"/>
      <c r="B209" s="9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9"/>
      <c r="S209" s="11"/>
      <c r="T209" s="9"/>
      <c r="U209" s="11"/>
      <c r="V209" s="9"/>
      <c r="W209" s="11"/>
      <c r="X209" s="9"/>
      <c r="Y209" s="11"/>
      <c r="Z209" s="11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12.75" customHeight="1">
      <c r="A210" s="9"/>
      <c r="B210" s="9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9"/>
      <c r="S210" s="11"/>
      <c r="T210" s="9"/>
      <c r="U210" s="11"/>
      <c r="V210" s="9"/>
      <c r="W210" s="11"/>
      <c r="X210" s="9"/>
      <c r="Y210" s="11"/>
      <c r="Z210" s="11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12.75" customHeight="1">
      <c r="A211" s="9"/>
      <c r="B211" s="9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9"/>
      <c r="S211" s="11"/>
      <c r="T211" s="9"/>
      <c r="U211" s="11"/>
      <c r="V211" s="9"/>
      <c r="W211" s="11"/>
      <c r="X211" s="9"/>
      <c r="Y211" s="11"/>
      <c r="Z211" s="11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12.75" customHeight="1">
      <c r="A212" s="9"/>
      <c r="B212" s="9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9"/>
      <c r="S212" s="11"/>
      <c r="T212" s="9"/>
      <c r="U212" s="11"/>
      <c r="V212" s="9"/>
      <c r="W212" s="11"/>
      <c r="X212" s="9"/>
      <c r="Y212" s="11"/>
      <c r="Z212" s="11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12.75" customHeight="1">
      <c r="A213" s="9"/>
      <c r="B213" s="9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9"/>
      <c r="S213" s="11"/>
      <c r="T213" s="9"/>
      <c r="U213" s="11"/>
      <c r="V213" s="9"/>
      <c r="W213" s="11"/>
      <c r="X213" s="9"/>
      <c r="Y213" s="11"/>
      <c r="Z213" s="11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12.75" customHeight="1">
      <c r="A214" s="9"/>
      <c r="B214" s="9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9"/>
      <c r="S214" s="11"/>
      <c r="T214" s="9"/>
      <c r="U214" s="11"/>
      <c r="V214" s="9"/>
      <c r="W214" s="11"/>
      <c r="X214" s="9"/>
      <c r="Y214" s="11"/>
      <c r="Z214" s="11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12.75" customHeight="1">
      <c r="A215" s="9"/>
      <c r="B215" s="9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9"/>
      <c r="S215" s="11"/>
      <c r="T215" s="9"/>
      <c r="U215" s="11"/>
      <c r="V215" s="9"/>
      <c r="W215" s="11"/>
      <c r="X215" s="9"/>
      <c r="Y215" s="11"/>
      <c r="Z215" s="11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12.75" customHeight="1">
      <c r="A216" s="9"/>
      <c r="B216" s="9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9"/>
      <c r="S216" s="11"/>
      <c r="T216" s="9"/>
      <c r="U216" s="11"/>
      <c r="V216" s="9"/>
      <c r="W216" s="11"/>
      <c r="X216" s="9"/>
      <c r="Y216" s="11"/>
      <c r="Z216" s="11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12.75" customHeight="1">
      <c r="A217" s="9"/>
      <c r="B217" s="9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9"/>
      <c r="S217" s="11"/>
      <c r="T217" s="9"/>
      <c r="U217" s="11"/>
      <c r="V217" s="9"/>
      <c r="W217" s="11"/>
      <c r="X217" s="9"/>
      <c r="Y217" s="11"/>
      <c r="Z217" s="11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12.75" customHeight="1">
      <c r="A218" s="9"/>
      <c r="B218" s="9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9"/>
      <c r="S218" s="11"/>
      <c r="T218" s="9"/>
      <c r="U218" s="11"/>
      <c r="V218" s="9"/>
      <c r="W218" s="11"/>
      <c r="X218" s="9"/>
      <c r="Y218" s="11"/>
      <c r="Z218" s="11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12.75" customHeight="1">
      <c r="A219" s="9"/>
      <c r="B219" s="9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9"/>
      <c r="S219" s="11"/>
      <c r="T219" s="9"/>
      <c r="U219" s="11"/>
      <c r="V219" s="9"/>
      <c r="W219" s="11"/>
      <c r="X219" s="9"/>
      <c r="Y219" s="11"/>
      <c r="Z219" s="11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12.75" customHeight="1">
      <c r="A220" s="9"/>
      <c r="B220" s="9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9"/>
      <c r="S220" s="11"/>
      <c r="T220" s="9"/>
      <c r="U220" s="11"/>
      <c r="V220" s="9"/>
      <c r="W220" s="11"/>
      <c r="X220" s="9"/>
      <c r="Y220" s="11"/>
      <c r="Z220" s="11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12.75" customHeight="1">
      <c r="A221" s="9"/>
      <c r="B221" s="9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9"/>
      <c r="S221" s="11"/>
      <c r="T221" s="9"/>
      <c r="U221" s="11"/>
      <c r="V221" s="9"/>
      <c r="W221" s="11"/>
      <c r="X221" s="9"/>
      <c r="Y221" s="11"/>
      <c r="Z221" s="11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12.75" customHeight="1">
      <c r="A222" s="9"/>
      <c r="B222" s="9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9"/>
      <c r="S222" s="11"/>
      <c r="T222" s="9"/>
      <c r="U222" s="11"/>
      <c r="V222" s="9"/>
      <c r="W222" s="11"/>
      <c r="X222" s="9"/>
      <c r="Y222" s="11"/>
      <c r="Z222" s="11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12.75" customHeight="1">
      <c r="A223" s="9"/>
      <c r="B223" s="9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9"/>
      <c r="S223" s="11"/>
      <c r="T223" s="9"/>
      <c r="U223" s="11"/>
      <c r="V223" s="9"/>
      <c r="W223" s="11"/>
      <c r="X223" s="9"/>
      <c r="Y223" s="11"/>
      <c r="Z223" s="11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12.75" customHeight="1">
      <c r="A224" s="9"/>
      <c r="B224" s="9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9"/>
      <c r="S224" s="11"/>
      <c r="T224" s="9"/>
      <c r="U224" s="11"/>
      <c r="V224" s="9"/>
      <c r="W224" s="11"/>
      <c r="X224" s="9"/>
      <c r="Y224" s="11"/>
      <c r="Z224" s="11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12.75" customHeight="1">
      <c r="A225" s="9"/>
      <c r="B225" s="9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9"/>
      <c r="S225" s="11"/>
      <c r="T225" s="9"/>
      <c r="U225" s="11"/>
      <c r="V225" s="9"/>
      <c r="W225" s="11"/>
      <c r="X225" s="9"/>
      <c r="Y225" s="11"/>
      <c r="Z225" s="11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12.75" customHeight="1">
      <c r="A226" s="9"/>
      <c r="B226" s="9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9"/>
      <c r="S226" s="11"/>
      <c r="T226" s="9"/>
      <c r="U226" s="11"/>
      <c r="V226" s="9"/>
      <c r="W226" s="11"/>
      <c r="X226" s="9"/>
      <c r="Y226" s="11"/>
      <c r="Z226" s="11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12.75" customHeight="1">
      <c r="A227" s="9"/>
      <c r="B227" s="9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9"/>
      <c r="S227" s="11"/>
      <c r="T227" s="9"/>
      <c r="U227" s="11"/>
      <c r="V227" s="9"/>
      <c r="W227" s="11"/>
      <c r="X227" s="9"/>
      <c r="Y227" s="11"/>
      <c r="Z227" s="11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12.75" customHeight="1">
      <c r="A228" s="9"/>
      <c r="B228" s="9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9"/>
      <c r="S228" s="11"/>
      <c r="T228" s="9"/>
      <c r="U228" s="11"/>
      <c r="V228" s="9"/>
      <c r="W228" s="11"/>
      <c r="X228" s="9"/>
      <c r="Y228" s="11"/>
      <c r="Z228" s="11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12.75" customHeight="1">
      <c r="A229" s="9"/>
      <c r="B229" s="9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9"/>
      <c r="S229" s="11"/>
      <c r="T229" s="9"/>
      <c r="U229" s="11"/>
      <c r="V229" s="9"/>
      <c r="W229" s="11"/>
      <c r="X229" s="9"/>
      <c r="Y229" s="11"/>
      <c r="Z229" s="11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12.75" customHeight="1">
      <c r="A230" s="9"/>
      <c r="B230" s="9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9"/>
      <c r="S230" s="11"/>
      <c r="T230" s="9"/>
      <c r="U230" s="11"/>
      <c r="V230" s="9"/>
      <c r="W230" s="11"/>
      <c r="X230" s="9"/>
      <c r="Y230" s="11"/>
      <c r="Z230" s="11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12.75" customHeight="1">
      <c r="A231" s="9"/>
      <c r="B231" s="9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9"/>
      <c r="S231" s="11"/>
      <c r="T231" s="9"/>
      <c r="U231" s="11"/>
      <c r="V231" s="9"/>
      <c r="W231" s="11"/>
      <c r="X231" s="9"/>
      <c r="Y231" s="11"/>
      <c r="Z231" s="11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12.75" customHeight="1">
      <c r="A232" s="9"/>
      <c r="B232" s="9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9"/>
      <c r="S232" s="11"/>
      <c r="T232" s="9"/>
      <c r="U232" s="11"/>
      <c r="V232" s="9"/>
      <c r="W232" s="11"/>
      <c r="X232" s="9"/>
      <c r="Y232" s="11"/>
      <c r="Z232" s="11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12.75" customHeight="1">
      <c r="A233" s="9"/>
      <c r="B233" s="9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9"/>
      <c r="S233" s="11"/>
      <c r="T233" s="9"/>
      <c r="U233" s="11"/>
      <c r="V233" s="9"/>
      <c r="W233" s="11"/>
      <c r="X233" s="9"/>
      <c r="Y233" s="11"/>
      <c r="Z233" s="11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12.75" customHeight="1">
      <c r="A234" s="9"/>
      <c r="B234" s="9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9"/>
      <c r="S234" s="11"/>
      <c r="T234" s="9"/>
      <c r="U234" s="11"/>
      <c r="V234" s="9"/>
      <c r="W234" s="11"/>
      <c r="X234" s="9"/>
      <c r="Y234" s="11"/>
      <c r="Z234" s="11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12.75" customHeight="1">
      <c r="A235" s="9"/>
      <c r="B235" s="9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9"/>
      <c r="S235" s="11"/>
      <c r="T235" s="9"/>
      <c r="U235" s="11"/>
      <c r="V235" s="9"/>
      <c r="W235" s="11"/>
      <c r="X235" s="9"/>
      <c r="Y235" s="11"/>
      <c r="Z235" s="11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12.75" customHeight="1">
      <c r="A236" s="9"/>
      <c r="B236" s="9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9"/>
      <c r="S236" s="11"/>
      <c r="T236" s="9"/>
      <c r="U236" s="11"/>
      <c r="V236" s="9"/>
      <c r="W236" s="11"/>
      <c r="X236" s="9"/>
      <c r="Y236" s="11"/>
      <c r="Z236" s="11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12.75" customHeight="1">
      <c r="A237" s="9"/>
      <c r="B237" s="9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9"/>
      <c r="S237" s="11"/>
      <c r="T237" s="9"/>
      <c r="U237" s="11"/>
      <c r="V237" s="9"/>
      <c r="W237" s="11"/>
      <c r="X237" s="9"/>
      <c r="Y237" s="11"/>
      <c r="Z237" s="11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12.75" customHeight="1">
      <c r="A238" s="9"/>
      <c r="B238" s="9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9"/>
      <c r="S238" s="11"/>
      <c r="T238" s="9"/>
      <c r="U238" s="11"/>
      <c r="V238" s="9"/>
      <c r="W238" s="11"/>
      <c r="X238" s="9"/>
      <c r="Y238" s="11"/>
      <c r="Z238" s="11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12.75" customHeight="1">
      <c r="A239" s="9"/>
      <c r="B239" s="9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9"/>
      <c r="S239" s="11"/>
      <c r="T239" s="9"/>
      <c r="U239" s="11"/>
      <c r="V239" s="9"/>
      <c r="W239" s="11"/>
      <c r="X239" s="9"/>
      <c r="Y239" s="11"/>
      <c r="Z239" s="11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12.75" customHeight="1">
      <c r="A240" s="9"/>
      <c r="B240" s="9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9"/>
      <c r="S240" s="11"/>
      <c r="T240" s="9"/>
      <c r="U240" s="11"/>
      <c r="V240" s="9"/>
      <c r="W240" s="11"/>
      <c r="X240" s="9"/>
      <c r="Y240" s="11"/>
      <c r="Z240" s="11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12.75" customHeight="1">
      <c r="A241" s="9"/>
      <c r="B241" s="9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9"/>
      <c r="S241" s="11"/>
      <c r="T241" s="9"/>
      <c r="U241" s="11"/>
      <c r="V241" s="9"/>
      <c r="W241" s="11"/>
      <c r="X241" s="9"/>
      <c r="Y241" s="11"/>
      <c r="Z241" s="11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12.75" customHeight="1">
      <c r="A242" s="9"/>
      <c r="B242" s="9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9"/>
      <c r="S242" s="11"/>
      <c r="T242" s="9"/>
      <c r="U242" s="11"/>
      <c r="V242" s="9"/>
      <c r="W242" s="11"/>
      <c r="X242" s="9"/>
      <c r="Y242" s="11"/>
      <c r="Z242" s="11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12.75" customHeight="1">
      <c r="A243" s="9"/>
      <c r="B243" s="9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9"/>
      <c r="S243" s="11"/>
      <c r="T243" s="9"/>
      <c r="U243" s="11"/>
      <c r="V243" s="9"/>
      <c r="W243" s="11"/>
      <c r="X243" s="9"/>
      <c r="Y243" s="11"/>
      <c r="Z243" s="11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12.75" customHeight="1">
      <c r="A244" s="9"/>
      <c r="B244" s="9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9"/>
      <c r="S244" s="11"/>
      <c r="T244" s="9"/>
      <c r="U244" s="11"/>
      <c r="V244" s="9"/>
      <c r="W244" s="11"/>
      <c r="X244" s="9"/>
      <c r="Y244" s="11"/>
      <c r="Z244" s="11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12.75" customHeight="1">
      <c r="A245" s="9"/>
      <c r="B245" s="9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9"/>
      <c r="S245" s="11"/>
      <c r="T245" s="9"/>
      <c r="U245" s="11"/>
      <c r="V245" s="9"/>
      <c r="W245" s="11"/>
      <c r="X245" s="9"/>
      <c r="Y245" s="11"/>
      <c r="Z245" s="11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12.75" customHeight="1">
      <c r="A246" s="9"/>
      <c r="B246" s="9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9"/>
      <c r="S246" s="11"/>
      <c r="T246" s="9"/>
      <c r="U246" s="11"/>
      <c r="V246" s="9"/>
      <c r="W246" s="11"/>
      <c r="X246" s="9"/>
      <c r="Y246" s="11"/>
      <c r="Z246" s="11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12.75" customHeight="1">
      <c r="A247" s="9"/>
      <c r="B247" s="9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9"/>
      <c r="S247" s="11"/>
      <c r="T247" s="9"/>
      <c r="U247" s="11"/>
      <c r="V247" s="9"/>
      <c r="W247" s="11"/>
      <c r="X247" s="9"/>
      <c r="Y247" s="11"/>
      <c r="Z247" s="11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12.75" customHeight="1">
      <c r="A248" s="9"/>
      <c r="B248" s="9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9"/>
      <c r="S248" s="11"/>
      <c r="T248" s="9"/>
      <c r="U248" s="11"/>
      <c r="V248" s="9"/>
      <c r="W248" s="11"/>
      <c r="X248" s="9"/>
      <c r="Y248" s="11"/>
      <c r="Z248" s="11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12.75" customHeight="1">
      <c r="A249" s="9"/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9"/>
      <c r="S249" s="11"/>
      <c r="T249" s="9"/>
      <c r="U249" s="11"/>
      <c r="V249" s="9"/>
      <c r="W249" s="11"/>
      <c r="X249" s="9"/>
      <c r="Y249" s="11"/>
      <c r="Z249" s="11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12.75" customHeight="1">
      <c r="A250" s="9"/>
      <c r="B250" s="9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9"/>
      <c r="S250" s="11"/>
      <c r="T250" s="9"/>
      <c r="U250" s="11"/>
      <c r="V250" s="9"/>
      <c r="W250" s="11"/>
      <c r="X250" s="9"/>
      <c r="Y250" s="11"/>
      <c r="Z250" s="11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12.75" customHeight="1">
      <c r="A251" s="9"/>
      <c r="B251" s="9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9"/>
      <c r="S251" s="11"/>
      <c r="T251" s="9"/>
      <c r="U251" s="11"/>
      <c r="V251" s="9"/>
      <c r="W251" s="11"/>
      <c r="X251" s="9"/>
      <c r="Y251" s="11"/>
      <c r="Z251" s="11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12.75" customHeight="1">
      <c r="A252" s="9"/>
      <c r="B252" s="9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9"/>
      <c r="S252" s="11"/>
      <c r="T252" s="9"/>
      <c r="U252" s="11"/>
      <c r="V252" s="9"/>
      <c r="W252" s="11"/>
      <c r="X252" s="9"/>
      <c r="Y252" s="11"/>
      <c r="Z252" s="11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12.75" customHeight="1">
      <c r="A253" s="9"/>
      <c r="B253" s="9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9"/>
      <c r="S253" s="11"/>
      <c r="T253" s="9"/>
      <c r="U253" s="11"/>
      <c r="V253" s="9"/>
      <c r="W253" s="11"/>
      <c r="X253" s="9"/>
      <c r="Y253" s="11"/>
      <c r="Z253" s="11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12.75" customHeight="1">
      <c r="A254" s="9"/>
      <c r="B254" s="9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9"/>
      <c r="S254" s="11"/>
      <c r="T254" s="9"/>
      <c r="U254" s="11"/>
      <c r="V254" s="9"/>
      <c r="W254" s="11"/>
      <c r="X254" s="9"/>
      <c r="Y254" s="11"/>
      <c r="Z254" s="11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12.75" customHeight="1">
      <c r="A255" s="9"/>
      <c r="B255" s="9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9"/>
      <c r="S255" s="11"/>
      <c r="T255" s="9"/>
      <c r="U255" s="11"/>
      <c r="V255" s="9"/>
      <c r="W255" s="11"/>
      <c r="X255" s="9"/>
      <c r="Y255" s="11"/>
      <c r="Z255" s="11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12.75" customHeight="1">
      <c r="A256" s="9"/>
      <c r="B256" s="9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9"/>
      <c r="S256" s="11"/>
      <c r="T256" s="9"/>
      <c r="U256" s="11"/>
      <c r="V256" s="9"/>
      <c r="W256" s="11"/>
      <c r="X256" s="9"/>
      <c r="Y256" s="11"/>
      <c r="Z256" s="11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12.75" customHeight="1">
      <c r="A257" s="9"/>
      <c r="B257" s="9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9"/>
      <c r="S257" s="11"/>
      <c r="T257" s="9"/>
      <c r="U257" s="11"/>
      <c r="V257" s="9"/>
      <c r="W257" s="11"/>
      <c r="X257" s="9"/>
      <c r="Y257" s="11"/>
      <c r="Z257" s="11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12.75" customHeight="1">
      <c r="A258" s="9"/>
      <c r="B258" s="9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9"/>
      <c r="S258" s="11"/>
      <c r="T258" s="9"/>
      <c r="U258" s="11"/>
      <c r="V258" s="9"/>
      <c r="W258" s="11"/>
      <c r="X258" s="9"/>
      <c r="Y258" s="11"/>
      <c r="Z258" s="11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12.75" customHeight="1">
      <c r="A259" s="9"/>
      <c r="B259" s="9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9"/>
      <c r="S259" s="11"/>
      <c r="T259" s="9"/>
      <c r="U259" s="11"/>
      <c r="V259" s="9"/>
      <c r="W259" s="11"/>
      <c r="X259" s="9"/>
      <c r="Y259" s="11"/>
      <c r="Z259" s="11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ht="12.75" customHeight="1">
      <c r="A260" s="9"/>
      <c r="B260" s="9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9"/>
      <c r="S260" s="11"/>
      <c r="T260" s="9"/>
      <c r="U260" s="11"/>
      <c r="V260" s="9"/>
      <c r="W260" s="11"/>
      <c r="X260" s="9"/>
      <c r="Y260" s="11"/>
      <c r="Z260" s="11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ht="12.75" customHeight="1">
      <c r="A261" s="9"/>
      <c r="B261" s="9"/>
      <c r="C261" s="10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9"/>
      <c r="S261" s="11"/>
      <c r="T261" s="9"/>
      <c r="U261" s="11"/>
      <c r="V261" s="9"/>
      <c r="W261" s="11"/>
      <c r="X261" s="9"/>
      <c r="Y261" s="11"/>
      <c r="Z261" s="11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ht="12.75" customHeight="1">
      <c r="A262" s="9"/>
      <c r="B262" s="9"/>
      <c r="C262" s="10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9"/>
      <c r="S262" s="11"/>
      <c r="T262" s="9"/>
      <c r="U262" s="11"/>
      <c r="V262" s="9"/>
      <c r="W262" s="11"/>
      <c r="X262" s="9"/>
      <c r="Y262" s="11"/>
      <c r="Z262" s="11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ht="12.75" customHeight="1">
      <c r="A263" s="9"/>
      <c r="B263" s="9"/>
      <c r="C263" s="10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9"/>
      <c r="S263" s="11"/>
      <c r="T263" s="9"/>
      <c r="U263" s="11"/>
      <c r="V263" s="9"/>
      <c r="W263" s="11"/>
      <c r="X263" s="9"/>
      <c r="Y263" s="11"/>
      <c r="Z263" s="11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ht="12.75" customHeight="1">
      <c r="A264" s="9"/>
      <c r="B264" s="9"/>
      <c r="C264" s="10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9"/>
      <c r="S264" s="11"/>
      <c r="T264" s="9"/>
      <c r="U264" s="11"/>
      <c r="V264" s="9"/>
      <c r="W264" s="11"/>
      <c r="X264" s="9"/>
      <c r="Y264" s="11"/>
      <c r="Z264" s="11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ht="12.75" customHeight="1">
      <c r="A265" s="9"/>
      <c r="B265" s="9"/>
      <c r="C265" s="10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9"/>
      <c r="S265" s="11"/>
      <c r="T265" s="9"/>
      <c r="U265" s="11"/>
      <c r="V265" s="9"/>
      <c r="W265" s="11"/>
      <c r="X265" s="9"/>
      <c r="Y265" s="11"/>
      <c r="Z265" s="11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ht="12.75" customHeight="1">
      <c r="A266" s="9"/>
      <c r="B266" s="9"/>
      <c r="C266" s="10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9"/>
      <c r="S266" s="11"/>
      <c r="T266" s="9"/>
      <c r="U266" s="11"/>
      <c r="V266" s="9"/>
      <c r="W266" s="11"/>
      <c r="X266" s="9"/>
      <c r="Y266" s="11"/>
      <c r="Z266" s="11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ht="12.75" customHeight="1">
      <c r="A267" s="9"/>
      <c r="B267" s="9"/>
      <c r="C267" s="10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9"/>
      <c r="S267" s="11"/>
      <c r="T267" s="9"/>
      <c r="U267" s="11"/>
      <c r="V267" s="9"/>
      <c r="W267" s="11"/>
      <c r="X267" s="9"/>
      <c r="Y267" s="11"/>
      <c r="Z267" s="11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ht="12.75" customHeight="1">
      <c r="A268" s="9"/>
      <c r="B268" s="9"/>
      <c r="C268" s="10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9"/>
      <c r="S268" s="11"/>
      <c r="T268" s="9"/>
      <c r="U268" s="11"/>
      <c r="V268" s="9"/>
      <c r="W268" s="11"/>
      <c r="X268" s="9"/>
      <c r="Y268" s="11"/>
      <c r="Z268" s="11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ht="12.75" customHeight="1">
      <c r="A269" s="9"/>
      <c r="B269" s="9"/>
      <c r="C269" s="10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9"/>
      <c r="S269" s="11"/>
      <c r="T269" s="9"/>
      <c r="U269" s="11"/>
      <c r="V269" s="9"/>
      <c r="W269" s="11"/>
      <c r="X269" s="9"/>
      <c r="Y269" s="11"/>
      <c r="Z269" s="11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ht="12.75" customHeight="1">
      <c r="A270" s="9"/>
      <c r="B270" s="9"/>
      <c r="C270" s="10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9"/>
      <c r="S270" s="11"/>
      <c r="T270" s="9"/>
      <c r="U270" s="11"/>
      <c r="V270" s="9"/>
      <c r="W270" s="11"/>
      <c r="X270" s="9"/>
      <c r="Y270" s="11"/>
      <c r="Z270" s="11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ht="12.75" customHeight="1">
      <c r="A271" s="9"/>
      <c r="B271" s="9"/>
      <c r="C271" s="10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9"/>
      <c r="S271" s="11"/>
      <c r="T271" s="9"/>
      <c r="U271" s="11"/>
      <c r="V271" s="9"/>
      <c r="W271" s="11"/>
      <c r="X271" s="9"/>
      <c r="Y271" s="11"/>
      <c r="Z271" s="11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ht="12.75" customHeight="1">
      <c r="A272" s="9"/>
      <c r="B272" s="9"/>
      <c r="C272" s="10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9"/>
      <c r="S272" s="11"/>
      <c r="T272" s="9"/>
      <c r="U272" s="11"/>
      <c r="V272" s="9"/>
      <c r="W272" s="11"/>
      <c r="X272" s="9"/>
      <c r="Y272" s="11"/>
      <c r="Z272" s="11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ht="12.75" customHeight="1">
      <c r="A273" s="9"/>
      <c r="B273" s="9"/>
      <c r="C273" s="10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9"/>
      <c r="S273" s="11"/>
      <c r="T273" s="9"/>
      <c r="U273" s="11"/>
      <c r="V273" s="9"/>
      <c r="W273" s="11"/>
      <c r="X273" s="9"/>
      <c r="Y273" s="11"/>
      <c r="Z273" s="11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ht="12.75" customHeight="1">
      <c r="A274" s="9"/>
      <c r="B274" s="9"/>
      <c r="C274" s="10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9"/>
      <c r="S274" s="11"/>
      <c r="T274" s="9"/>
      <c r="U274" s="11"/>
      <c r="V274" s="9"/>
      <c r="W274" s="11"/>
      <c r="X274" s="9"/>
      <c r="Y274" s="11"/>
      <c r="Z274" s="11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ht="12.75" customHeight="1">
      <c r="A275" s="9"/>
      <c r="B275" s="9"/>
      <c r="C275" s="10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9"/>
      <c r="S275" s="11"/>
      <c r="T275" s="9"/>
      <c r="U275" s="11"/>
      <c r="V275" s="9"/>
      <c r="W275" s="11"/>
      <c r="X275" s="9"/>
      <c r="Y275" s="11"/>
      <c r="Z275" s="11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ht="12.75" customHeight="1">
      <c r="A276" s="9"/>
      <c r="B276" s="9"/>
      <c r="C276" s="10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9"/>
      <c r="S276" s="11"/>
      <c r="T276" s="9"/>
      <c r="U276" s="11"/>
      <c r="V276" s="9"/>
      <c r="W276" s="11"/>
      <c r="X276" s="9"/>
      <c r="Y276" s="11"/>
      <c r="Z276" s="11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12.75" customHeight="1">
      <c r="A277" s="9"/>
      <c r="B277" s="9"/>
      <c r="C277" s="10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9"/>
      <c r="S277" s="11"/>
      <c r="T277" s="9"/>
      <c r="U277" s="11"/>
      <c r="V277" s="9"/>
      <c r="W277" s="11"/>
      <c r="X277" s="9"/>
      <c r="Y277" s="11"/>
      <c r="Z277" s="11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12.75" customHeight="1">
      <c r="A278" s="9"/>
      <c r="B278" s="9"/>
      <c r="C278" s="10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9"/>
      <c r="S278" s="11"/>
      <c r="T278" s="9"/>
      <c r="U278" s="11"/>
      <c r="V278" s="9"/>
      <c r="W278" s="11"/>
      <c r="X278" s="9"/>
      <c r="Y278" s="11"/>
      <c r="Z278" s="11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12.75" customHeight="1">
      <c r="A279" s="9"/>
      <c r="B279" s="9"/>
      <c r="C279" s="10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9"/>
      <c r="S279" s="11"/>
      <c r="T279" s="9"/>
      <c r="U279" s="11"/>
      <c r="V279" s="9"/>
      <c r="W279" s="11"/>
      <c r="X279" s="9"/>
      <c r="Y279" s="11"/>
      <c r="Z279" s="11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12.75" customHeight="1">
      <c r="A280" s="9"/>
      <c r="B280" s="9"/>
      <c r="C280" s="10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9"/>
      <c r="S280" s="11"/>
      <c r="T280" s="9"/>
      <c r="U280" s="11"/>
      <c r="V280" s="9"/>
      <c r="W280" s="11"/>
      <c r="X280" s="9"/>
      <c r="Y280" s="11"/>
      <c r="Z280" s="11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12.75" customHeight="1">
      <c r="A281" s="9"/>
      <c r="B281" s="9"/>
      <c r="C281" s="10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9"/>
      <c r="S281" s="11"/>
      <c r="T281" s="9"/>
      <c r="U281" s="11"/>
      <c r="V281" s="9"/>
      <c r="W281" s="11"/>
      <c r="X281" s="9"/>
      <c r="Y281" s="11"/>
      <c r="Z281" s="11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12.75" customHeight="1">
      <c r="A282" s="9"/>
      <c r="B282" s="9"/>
      <c r="C282" s="10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9"/>
      <c r="S282" s="11"/>
      <c r="T282" s="9"/>
      <c r="U282" s="11"/>
      <c r="V282" s="9"/>
      <c r="W282" s="11"/>
      <c r="X282" s="9"/>
      <c r="Y282" s="11"/>
      <c r="Z282" s="11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ht="12.75" customHeight="1">
      <c r="A283" s="9"/>
      <c r="B283" s="9"/>
      <c r="C283" s="10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9"/>
      <c r="S283" s="11"/>
      <c r="T283" s="9"/>
      <c r="U283" s="11"/>
      <c r="V283" s="9"/>
      <c r="W283" s="11"/>
      <c r="X283" s="9"/>
      <c r="Y283" s="11"/>
      <c r="Z283" s="11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ht="12.75" customHeight="1">
      <c r="A284" s="9"/>
      <c r="B284" s="9"/>
      <c r="C284" s="10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9"/>
      <c r="S284" s="11"/>
      <c r="T284" s="9"/>
      <c r="U284" s="11"/>
      <c r="V284" s="9"/>
      <c r="W284" s="11"/>
      <c r="X284" s="9"/>
      <c r="Y284" s="11"/>
      <c r="Z284" s="11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ht="12.75" customHeight="1">
      <c r="A285" s="9"/>
      <c r="B285" s="9"/>
      <c r="C285" s="10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9"/>
      <c r="S285" s="11"/>
      <c r="T285" s="9"/>
      <c r="U285" s="11"/>
      <c r="V285" s="9"/>
      <c r="W285" s="11"/>
      <c r="X285" s="9"/>
      <c r="Y285" s="11"/>
      <c r="Z285" s="11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ht="12.75" customHeight="1">
      <c r="A286" s="9"/>
      <c r="B286" s="9"/>
      <c r="C286" s="10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9"/>
      <c r="S286" s="11"/>
      <c r="T286" s="9"/>
      <c r="U286" s="11"/>
      <c r="V286" s="9"/>
      <c r="W286" s="11"/>
      <c r="X286" s="9"/>
      <c r="Y286" s="11"/>
      <c r="Z286" s="11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ht="12.75" customHeight="1">
      <c r="A287" s="9"/>
      <c r="B287" s="9"/>
      <c r="C287" s="10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9"/>
      <c r="S287" s="11"/>
      <c r="T287" s="9"/>
      <c r="U287" s="11"/>
      <c r="V287" s="9"/>
      <c r="W287" s="11"/>
      <c r="X287" s="9"/>
      <c r="Y287" s="11"/>
      <c r="Z287" s="11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ht="12.75" customHeight="1">
      <c r="A288" s="9"/>
      <c r="B288" s="9"/>
      <c r="C288" s="10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9"/>
      <c r="S288" s="11"/>
      <c r="T288" s="9"/>
      <c r="U288" s="11"/>
      <c r="V288" s="9"/>
      <c r="W288" s="11"/>
      <c r="X288" s="9"/>
      <c r="Y288" s="11"/>
      <c r="Z288" s="11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ht="12.75" customHeight="1">
      <c r="A289" s="9"/>
      <c r="B289" s="9"/>
      <c r="C289" s="10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9"/>
      <c r="S289" s="11"/>
      <c r="T289" s="9"/>
      <c r="U289" s="11"/>
      <c r="V289" s="9"/>
      <c r="W289" s="11"/>
      <c r="X289" s="9"/>
      <c r="Y289" s="11"/>
      <c r="Z289" s="11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ht="12.75" customHeight="1">
      <c r="A290" s="9"/>
      <c r="B290" s="9"/>
      <c r="C290" s="10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9"/>
      <c r="S290" s="11"/>
      <c r="T290" s="9"/>
      <c r="U290" s="11"/>
      <c r="V290" s="9"/>
      <c r="W290" s="11"/>
      <c r="X290" s="9"/>
      <c r="Y290" s="11"/>
      <c r="Z290" s="11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ht="12.75" customHeight="1">
      <c r="A291" s="9"/>
      <c r="B291" s="9"/>
      <c r="C291" s="10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9"/>
      <c r="S291" s="11"/>
      <c r="T291" s="9"/>
      <c r="U291" s="11"/>
      <c r="V291" s="9"/>
      <c r="W291" s="11"/>
      <c r="X291" s="9"/>
      <c r="Y291" s="11"/>
      <c r="Z291" s="11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ht="12.75" customHeight="1">
      <c r="A292" s="9"/>
      <c r="B292" s="9"/>
      <c r="C292" s="10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9"/>
      <c r="S292" s="11"/>
      <c r="T292" s="9"/>
      <c r="U292" s="11"/>
      <c r="V292" s="9"/>
      <c r="W292" s="11"/>
      <c r="X292" s="9"/>
      <c r="Y292" s="11"/>
      <c r="Z292" s="11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ht="12.75" customHeight="1">
      <c r="A293" s="9"/>
      <c r="B293" s="9"/>
      <c r="C293" s="10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9"/>
      <c r="S293" s="11"/>
      <c r="T293" s="9"/>
      <c r="U293" s="11"/>
      <c r="V293" s="9"/>
      <c r="W293" s="11"/>
      <c r="X293" s="9"/>
      <c r="Y293" s="11"/>
      <c r="Z293" s="11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ht="12.75" customHeight="1">
      <c r="A294" s="9"/>
      <c r="B294" s="9"/>
      <c r="C294" s="10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9"/>
      <c r="S294" s="11"/>
      <c r="T294" s="9"/>
      <c r="U294" s="11"/>
      <c r="V294" s="9"/>
      <c r="W294" s="11"/>
      <c r="X294" s="9"/>
      <c r="Y294" s="11"/>
      <c r="Z294" s="11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ht="12.75" customHeight="1">
      <c r="A295" s="9"/>
      <c r="B295" s="9"/>
      <c r="C295" s="10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9"/>
      <c r="S295" s="11"/>
      <c r="T295" s="9"/>
      <c r="U295" s="11"/>
      <c r="V295" s="9"/>
      <c r="W295" s="11"/>
      <c r="X295" s="9"/>
      <c r="Y295" s="11"/>
      <c r="Z295" s="11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ht="12.75" customHeight="1">
      <c r="A296" s="9"/>
      <c r="B296" s="9"/>
      <c r="C296" s="10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9"/>
      <c r="S296" s="11"/>
      <c r="T296" s="9"/>
      <c r="U296" s="11"/>
      <c r="V296" s="9"/>
      <c r="W296" s="11"/>
      <c r="X296" s="9"/>
      <c r="Y296" s="11"/>
      <c r="Z296" s="11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ht="12.75" customHeight="1">
      <c r="A297" s="9"/>
      <c r="B297" s="9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9"/>
      <c r="S297" s="11"/>
      <c r="T297" s="9"/>
      <c r="U297" s="11"/>
      <c r="V297" s="9"/>
      <c r="W297" s="11"/>
      <c r="X297" s="9"/>
      <c r="Y297" s="11"/>
      <c r="Z297" s="11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ht="12.75" customHeight="1">
      <c r="A298" s="9"/>
      <c r="B298" s="9"/>
      <c r="C298" s="10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9"/>
      <c r="S298" s="11"/>
      <c r="T298" s="9"/>
      <c r="U298" s="11"/>
      <c r="V298" s="9"/>
      <c r="W298" s="11"/>
      <c r="X298" s="9"/>
      <c r="Y298" s="11"/>
      <c r="Z298" s="11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ht="12.75" customHeight="1">
      <c r="A299" s="9"/>
      <c r="B299" s="9"/>
      <c r="C299" s="10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9"/>
      <c r="S299" s="11"/>
      <c r="T299" s="9"/>
      <c r="U299" s="11"/>
      <c r="V299" s="9"/>
      <c r="W299" s="11"/>
      <c r="X299" s="9"/>
      <c r="Y299" s="11"/>
      <c r="Z299" s="11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ht="12.75" customHeight="1">
      <c r="A300" s="9"/>
      <c r="B300" s="9"/>
      <c r="C300" s="10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9"/>
      <c r="S300" s="11"/>
      <c r="T300" s="9"/>
      <c r="U300" s="11"/>
      <c r="V300" s="9"/>
      <c r="W300" s="11"/>
      <c r="X300" s="9"/>
      <c r="Y300" s="11"/>
      <c r="Z300" s="11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ht="12.75" customHeight="1">
      <c r="A301" s="9"/>
      <c r="B301" s="9"/>
      <c r="C301" s="10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9"/>
      <c r="S301" s="11"/>
      <c r="T301" s="9"/>
      <c r="U301" s="11"/>
      <c r="V301" s="9"/>
      <c r="W301" s="11"/>
      <c r="X301" s="9"/>
      <c r="Y301" s="11"/>
      <c r="Z301" s="11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ht="12.75" customHeight="1">
      <c r="A302" s="9"/>
      <c r="B302" s="9"/>
      <c r="C302" s="10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9"/>
      <c r="S302" s="11"/>
      <c r="T302" s="9"/>
      <c r="U302" s="11"/>
      <c r="V302" s="9"/>
      <c r="W302" s="11"/>
      <c r="X302" s="9"/>
      <c r="Y302" s="11"/>
      <c r="Z302" s="11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ht="12.75" customHeight="1">
      <c r="A303" s="9"/>
      <c r="B303" s="9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9"/>
      <c r="S303" s="11"/>
      <c r="T303" s="9"/>
      <c r="U303" s="11"/>
      <c r="V303" s="9"/>
      <c r="W303" s="11"/>
      <c r="X303" s="9"/>
      <c r="Y303" s="11"/>
      <c r="Z303" s="11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ht="12.75" customHeight="1">
      <c r="A304" s="9"/>
      <c r="B304" s="9"/>
      <c r="C304" s="10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9"/>
      <c r="S304" s="11"/>
      <c r="T304" s="9"/>
      <c r="U304" s="11"/>
      <c r="V304" s="9"/>
      <c r="W304" s="11"/>
      <c r="X304" s="9"/>
      <c r="Y304" s="11"/>
      <c r="Z304" s="11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ht="12.75" customHeight="1">
      <c r="A305" s="9"/>
      <c r="B305" s="9"/>
      <c r="C305" s="10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9"/>
      <c r="S305" s="11"/>
      <c r="T305" s="9"/>
      <c r="U305" s="11"/>
      <c r="V305" s="9"/>
      <c r="W305" s="11"/>
      <c r="X305" s="9"/>
      <c r="Y305" s="11"/>
      <c r="Z305" s="11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ht="12.75" customHeight="1">
      <c r="A306" s="9"/>
      <c r="B306" s="9"/>
      <c r="C306" s="10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9"/>
      <c r="S306" s="11"/>
      <c r="T306" s="9"/>
      <c r="U306" s="11"/>
      <c r="V306" s="9"/>
      <c r="W306" s="11"/>
      <c r="X306" s="9"/>
      <c r="Y306" s="11"/>
      <c r="Z306" s="11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ht="12.75" customHeight="1">
      <c r="A307" s="9"/>
      <c r="B307" s="9"/>
      <c r="C307" s="10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9"/>
      <c r="S307" s="11"/>
      <c r="T307" s="9"/>
      <c r="U307" s="11"/>
      <c r="V307" s="9"/>
      <c r="W307" s="11"/>
      <c r="X307" s="9"/>
      <c r="Y307" s="11"/>
      <c r="Z307" s="11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ht="12.75" customHeight="1">
      <c r="A308" s="9"/>
      <c r="B308" s="9"/>
      <c r="C308" s="10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9"/>
      <c r="S308" s="11"/>
      <c r="T308" s="9"/>
      <c r="U308" s="11"/>
      <c r="V308" s="9"/>
      <c r="W308" s="11"/>
      <c r="X308" s="9"/>
      <c r="Y308" s="11"/>
      <c r="Z308" s="11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ht="12.75" customHeight="1">
      <c r="A309" s="9"/>
      <c r="B309" s="9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9"/>
      <c r="S309" s="11"/>
      <c r="T309" s="9"/>
      <c r="U309" s="11"/>
      <c r="V309" s="9"/>
      <c r="W309" s="11"/>
      <c r="X309" s="9"/>
      <c r="Y309" s="11"/>
      <c r="Z309" s="11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ht="12.75" customHeight="1">
      <c r="A310" s="9"/>
      <c r="B310" s="9"/>
      <c r="C310" s="10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9"/>
      <c r="S310" s="11"/>
      <c r="T310" s="9"/>
      <c r="U310" s="11"/>
      <c r="V310" s="9"/>
      <c r="W310" s="11"/>
      <c r="X310" s="9"/>
      <c r="Y310" s="11"/>
      <c r="Z310" s="11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ht="12.75" customHeight="1">
      <c r="A311" s="9"/>
      <c r="B311" s="9"/>
      <c r="C311" s="10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9"/>
      <c r="S311" s="11"/>
      <c r="T311" s="9"/>
      <c r="U311" s="11"/>
      <c r="V311" s="9"/>
      <c r="W311" s="11"/>
      <c r="X311" s="9"/>
      <c r="Y311" s="11"/>
      <c r="Z311" s="11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ht="12.75" customHeight="1">
      <c r="A312" s="9"/>
      <c r="B312" s="9"/>
      <c r="C312" s="10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9"/>
      <c r="S312" s="11"/>
      <c r="T312" s="9"/>
      <c r="U312" s="11"/>
      <c r="V312" s="9"/>
      <c r="W312" s="11"/>
      <c r="X312" s="9"/>
      <c r="Y312" s="11"/>
      <c r="Z312" s="11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ht="12.75" customHeight="1">
      <c r="A313" s="9"/>
      <c r="B313" s="9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9"/>
      <c r="S313" s="11"/>
      <c r="T313" s="9"/>
      <c r="U313" s="11"/>
      <c r="V313" s="9"/>
      <c r="W313" s="11"/>
      <c r="X313" s="9"/>
      <c r="Y313" s="11"/>
      <c r="Z313" s="11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ht="12.75" customHeight="1">
      <c r="A314" s="9"/>
      <c r="B314" s="9"/>
      <c r="C314" s="10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9"/>
      <c r="S314" s="11"/>
      <c r="T314" s="9"/>
      <c r="U314" s="11"/>
      <c r="V314" s="9"/>
      <c r="W314" s="11"/>
      <c r="X314" s="9"/>
      <c r="Y314" s="11"/>
      <c r="Z314" s="11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ht="12.75" customHeight="1">
      <c r="A315" s="9"/>
      <c r="B315" s="9"/>
      <c r="C315" s="10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9"/>
      <c r="S315" s="11"/>
      <c r="T315" s="9"/>
      <c r="U315" s="11"/>
      <c r="V315" s="9"/>
      <c r="W315" s="11"/>
      <c r="X315" s="9"/>
      <c r="Y315" s="11"/>
      <c r="Z315" s="11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ht="12.75" customHeight="1">
      <c r="A316" s="9"/>
      <c r="B316" s="9"/>
      <c r="C316" s="10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9"/>
      <c r="S316" s="11"/>
      <c r="T316" s="9"/>
      <c r="U316" s="11"/>
      <c r="V316" s="9"/>
      <c r="W316" s="11"/>
      <c r="X316" s="9"/>
      <c r="Y316" s="11"/>
      <c r="Z316" s="11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ht="12.75" customHeight="1">
      <c r="A317" s="9"/>
      <c r="B317" s="9"/>
      <c r="C317" s="10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9"/>
      <c r="S317" s="11"/>
      <c r="T317" s="9"/>
      <c r="U317" s="11"/>
      <c r="V317" s="9"/>
      <c r="W317" s="11"/>
      <c r="X317" s="9"/>
      <c r="Y317" s="11"/>
      <c r="Z317" s="11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ht="12.75" customHeight="1">
      <c r="A318" s="9"/>
      <c r="B318" s="9"/>
      <c r="C318" s="10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9"/>
      <c r="S318" s="11"/>
      <c r="T318" s="9"/>
      <c r="U318" s="11"/>
      <c r="V318" s="9"/>
      <c r="W318" s="11"/>
      <c r="X318" s="9"/>
      <c r="Y318" s="11"/>
      <c r="Z318" s="11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ht="12.75" customHeight="1">
      <c r="A319" s="9"/>
      <c r="B319" s="9"/>
      <c r="C319" s="10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9"/>
      <c r="S319" s="11"/>
      <c r="T319" s="9"/>
      <c r="U319" s="11"/>
      <c r="V319" s="9"/>
      <c r="W319" s="11"/>
      <c r="X319" s="9"/>
      <c r="Y319" s="11"/>
      <c r="Z319" s="11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ht="12.75" customHeight="1">
      <c r="A320" s="9"/>
      <c r="B320" s="9"/>
      <c r="C320" s="10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9"/>
      <c r="S320" s="11"/>
      <c r="T320" s="9"/>
      <c r="U320" s="11"/>
      <c r="V320" s="9"/>
      <c r="W320" s="11"/>
      <c r="X320" s="9"/>
      <c r="Y320" s="11"/>
      <c r="Z320" s="11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ht="12.75" customHeight="1">
      <c r="A321" s="9"/>
      <c r="B321" s="9"/>
      <c r="C321" s="10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9"/>
      <c r="S321" s="11"/>
      <c r="T321" s="9"/>
      <c r="U321" s="11"/>
      <c r="V321" s="9"/>
      <c r="W321" s="11"/>
      <c r="X321" s="9"/>
      <c r="Y321" s="11"/>
      <c r="Z321" s="11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ht="12.75" customHeight="1">
      <c r="A322" s="9"/>
      <c r="B322" s="9"/>
      <c r="C322" s="10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9"/>
      <c r="S322" s="11"/>
      <c r="T322" s="9"/>
      <c r="U322" s="11"/>
      <c r="V322" s="9"/>
      <c r="W322" s="11"/>
      <c r="X322" s="9"/>
      <c r="Y322" s="11"/>
      <c r="Z322" s="11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ht="12.75" customHeight="1">
      <c r="A323" s="9"/>
      <c r="B323" s="9"/>
      <c r="C323" s="10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9"/>
      <c r="S323" s="11"/>
      <c r="T323" s="9"/>
      <c r="U323" s="11"/>
      <c r="V323" s="9"/>
      <c r="W323" s="11"/>
      <c r="X323" s="9"/>
      <c r="Y323" s="11"/>
      <c r="Z323" s="11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ht="12.75" customHeight="1">
      <c r="A324" s="9"/>
      <c r="B324" s="9"/>
      <c r="C324" s="10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9"/>
      <c r="S324" s="11"/>
      <c r="T324" s="9"/>
      <c r="U324" s="11"/>
      <c r="V324" s="9"/>
      <c r="W324" s="11"/>
      <c r="X324" s="9"/>
      <c r="Y324" s="11"/>
      <c r="Z324" s="11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ht="12.75" customHeight="1">
      <c r="A325" s="9"/>
      <c r="B325" s="9"/>
      <c r="C325" s="10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9"/>
      <c r="S325" s="11"/>
      <c r="T325" s="9"/>
      <c r="U325" s="11"/>
      <c r="V325" s="9"/>
      <c r="W325" s="11"/>
      <c r="X325" s="9"/>
      <c r="Y325" s="11"/>
      <c r="Z325" s="11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ht="12.75" customHeight="1">
      <c r="A326" s="9"/>
      <c r="B326" s="9"/>
      <c r="C326" s="10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9"/>
      <c r="S326" s="11"/>
      <c r="T326" s="9"/>
      <c r="U326" s="11"/>
      <c r="V326" s="9"/>
      <c r="W326" s="11"/>
      <c r="X326" s="9"/>
      <c r="Y326" s="11"/>
      <c r="Z326" s="11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ht="12.75" customHeight="1">
      <c r="A327" s="9"/>
      <c r="B327" s="9"/>
      <c r="C327" s="10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9"/>
      <c r="S327" s="11"/>
      <c r="T327" s="9"/>
      <c r="U327" s="11"/>
      <c r="V327" s="9"/>
      <c r="W327" s="11"/>
      <c r="X327" s="9"/>
      <c r="Y327" s="11"/>
      <c r="Z327" s="11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ht="12.75" customHeight="1">
      <c r="A328" s="9"/>
      <c r="B328" s="9"/>
      <c r="C328" s="10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9"/>
      <c r="S328" s="11"/>
      <c r="T328" s="9"/>
      <c r="U328" s="11"/>
      <c r="V328" s="9"/>
      <c r="W328" s="11"/>
      <c r="X328" s="9"/>
      <c r="Y328" s="11"/>
      <c r="Z328" s="11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ht="12.75" customHeight="1">
      <c r="A329" s="9"/>
      <c r="B329" s="9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9"/>
      <c r="S329" s="11"/>
      <c r="T329" s="9"/>
      <c r="U329" s="11"/>
      <c r="V329" s="9"/>
      <c r="W329" s="11"/>
      <c r="X329" s="9"/>
      <c r="Y329" s="11"/>
      <c r="Z329" s="11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ht="12.75" customHeight="1">
      <c r="A330" s="9"/>
      <c r="B330" s="9"/>
      <c r="C330" s="10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9"/>
      <c r="S330" s="11"/>
      <c r="T330" s="9"/>
      <c r="U330" s="11"/>
      <c r="V330" s="9"/>
      <c r="W330" s="11"/>
      <c r="X330" s="9"/>
      <c r="Y330" s="11"/>
      <c r="Z330" s="11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ht="12.75" customHeight="1">
      <c r="A331" s="9"/>
      <c r="B331" s="9"/>
      <c r="C331" s="10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9"/>
      <c r="S331" s="11"/>
      <c r="T331" s="9"/>
      <c r="U331" s="11"/>
      <c r="V331" s="9"/>
      <c r="W331" s="11"/>
      <c r="X331" s="9"/>
      <c r="Y331" s="11"/>
      <c r="Z331" s="11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ht="12.75" customHeight="1">
      <c r="A332" s="9"/>
      <c r="B332" s="9"/>
      <c r="C332" s="10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9"/>
      <c r="S332" s="11"/>
      <c r="T332" s="9"/>
      <c r="U332" s="11"/>
      <c r="V332" s="9"/>
      <c r="W332" s="11"/>
      <c r="X332" s="9"/>
      <c r="Y332" s="11"/>
      <c r="Z332" s="11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ht="12.75" customHeight="1">
      <c r="A333" s="9"/>
      <c r="B333" s="9"/>
      <c r="C333" s="10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9"/>
      <c r="S333" s="11"/>
      <c r="T333" s="9"/>
      <c r="U333" s="11"/>
      <c r="V333" s="9"/>
      <c r="W333" s="11"/>
      <c r="X333" s="9"/>
      <c r="Y333" s="11"/>
      <c r="Z333" s="11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ht="12.75" customHeight="1">
      <c r="A334" s="9"/>
      <c r="B334" s="9"/>
      <c r="C334" s="10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9"/>
      <c r="S334" s="11"/>
      <c r="T334" s="9"/>
      <c r="U334" s="11"/>
      <c r="V334" s="9"/>
      <c r="W334" s="11"/>
      <c r="X334" s="9"/>
      <c r="Y334" s="11"/>
      <c r="Z334" s="11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ht="12.75" customHeight="1">
      <c r="A335" s="9"/>
      <c r="B335" s="9"/>
      <c r="C335" s="10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9"/>
      <c r="S335" s="11"/>
      <c r="T335" s="9"/>
      <c r="U335" s="11"/>
      <c r="V335" s="9"/>
      <c r="W335" s="11"/>
      <c r="X335" s="9"/>
      <c r="Y335" s="11"/>
      <c r="Z335" s="11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ht="12.75" customHeight="1">
      <c r="A336" s="9"/>
      <c r="B336" s="9"/>
      <c r="C336" s="10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9"/>
      <c r="S336" s="11"/>
      <c r="T336" s="9"/>
      <c r="U336" s="11"/>
      <c r="V336" s="9"/>
      <c r="W336" s="11"/>
      <c r="X336" s="9"/>
      <c r="Y336" s="11"/>
      <c r="Z336" s="11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ht="12.75" customHeight="1">
      <c r="A337" s="9"/>
      <c r="B337" s="9"/>
      <c r="C337" s="10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9"/>
      <c r="S337" s="11"/>
      <c r="T337" s="9"/>
      <c r="U337" s="11"/>
      <c r="V337" s="9"/>
      <c r="W337" s="11"/>
      <c r="X337" s="9"/>
      <c r="Y337" s="11"/>
      <c r="Z337" s="11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ht="12.75" customHeight="1">
      <c r="A338" s="9"/>
      <c r="B338" s="9"/>
      <c r="C338" s="10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9"/>
      <c r="S338" s="11"/>
      <c r="T338" s="9"/>
      <c r="U338" s="11"/>
      <c r="V338" s="9"/>
      <c r="W338" s="11"/>
      <c r="X338" s="9"/>
      <c r="Y338" s="11"/>
      <c r="Z338" s="11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ht="12.75" customHeight="1">
      <c r="A339" s="9"/>
      <c r="B339" s="9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9"/>
      <c r="S339" s="11"/>
      <c r="T339" s="9"/>
      <c r="U339" s="11"/>
      <c r="V339" s="9"/>
      <c r="W339" s="11"/>
      <c r="X339" s="9"/>
      <c r="Y339" s="11"/>
      <c r="Z339" s="11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ht="12.75" customHeight="1">
      <c r="A340" s="9"/>
      <c r="B340" s="9"/>
      <c r="C340" s="10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9"/>
      <c r="S340" s="11"/>
      <c r="T340" s="9"/>
      <c r="U340" s="11"/>
      <c r="V340" s="9"/>
      <c r="W340" s="11"/>
      <c r="X340" s="9"/>
      <c r="Y340" s="11"/>
      <c r="Z340" s="11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ht="12.75" customHeight="1">
      <c r="A341" s="9"/>
      <c r="B341" s="9"/>
      <c r="C341" s="10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9"/>
      <c r="S341" s="11"/>
      <c r="T341" s="9"/>
      <c r="U341" s="11"/>
      <c r="V341" s="9"/>
      <c r="W341" s="11"/>
      <c r="X341" s="9"/>
      <c r="Y341" s="11"/>
      <c r="Z341" s="11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ht="12.75" customHeight="1">
      <c r="A342" s="9"/>
      <c r="B342" s="9"/>
      <c r="C342" s="10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9"/>
      <c r="S342" s="11"/>
      <c r="T342" s="9"/>
      <c r="U342" s="11"/>
      <c r="V342" s="9"/>
      <c r="W342" s="11"/>
      <c r="X342" s="9"/>
      <c r="Y342" s="11"/>
      <c r="Z342" s="11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ht="12.75" customHeight="1">
      <c r="A343" s="9"/>
      <c r="B343" s="9"/>
      <c r="C343" s="10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9"/>
      <c r="S343" s="11"/>
      <c r="T343" s="9"/>
      <c r="U343" s="11"/>
      <c r="V343" s="9"/>
      <c r="W343" s="11"/>
      <c r="X343" s="9"/>
      <c r="Y343" s="11"/>
      <c r="Z343" s="11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ht="12.75" customHeight="1">
      <c r="A344" s="9"/>
      <c r="B344" s="9"/>
      <c r="C344" s="10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9"/>
      <c r="S344" s="11"/>
      <c r="T344" s="9"/>
      <c r="U344" s="11"/>
      <c r="V344" s="9"/>
      <c r="W344" s="11"/>
      <c r="X344" s="9"/>
      <c r="Y344" s="11"/>
      <c r="Z344" s="11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ht="12.75" customHeight="1">
      <c r="A345" s="9"/>
      <c r="B345" s="9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9"/>
      <c r="S345" s="11"/>
      <c r="T345" s="9"/>
      <c r="U345" s="11"/>
      <c r="V345" s="9"/>
      <c r="W345" s="11"/>
      <c r="X345" s="9"/>
      <c r="Y345" s="11"/>
      <c r="Z345" s="11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ht="12.75" customHeight="1">
      <c r="A346" s="9"/>
      <c r="B346" s="9"/>
      <c r="C346" s="10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9"/>
      <c r="S346" s="11"/>
      <c r="T346" s="9"/>
      <c r="U346" s="11"/>
      <c r="V346" s="9"/>
      <c r="W346" s="11"/>
      <c r="X346" s="9"/>
      <c r="Y346" s="11"/>
      <c r="Z346" s="11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ht="12.75" customHeight="1">
      <c r="A347" s="9"/>
      <c r="B347" s="9"/>
      <c r="C347" s="10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9"/>
      <c r="S347" s="11"/>
      <c r="T347" s="9"/>
      <c r="U347" s="11"/>
      <c r="V347" s="9"/>
      <c r="W347" s="11"/>
      <c r="X347" s="9"/>
      <c r="Y347" s="11"/>
      <c r="Z347" s="11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ht="12.75" customHeight="1">
      <c r="A348" s="9"/>
      <c r="B348" s="9"/>
      <c r="C348" s="10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9"/>
      <c r="S348" s="11"/>
      <c r="T348" s="9"/>
      <c r="U348" s="11"/>
      <c r="V348" s="9"/>
      <c r="W348" s="11"/>
      <c r="X348" s="9"/>
      <c r="Y348" s="11"/>
      <c r="Z348" s="11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ht="12.75" customHeight="1">
      <c r="A349" s="9"/>
      <c r="B349" s="9"/>
      <c r="C349" s="10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9"/>
      <c r="S349" s="11"/>
      <c r="T349" s="9"/>
      <c r="U349" s="11"/>
      <c r="V349" s="9"/>
      <c r="W349" s="11"/>
      <c r="X349" s="9"/>
      <c r="Y349" s="11"/>
      <c r="Z349" s="11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ht="12.75" customHeight="1">
      <c r="A350" s="9"/>
      <c r="B350" s="9"/>
      <c r="C350" s="10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9"/>
      <c r="S350" s="11"/>
      <c r="T350" s="9"/>
      <c r="U350" s="11"/>
      <c r="V350" s="9"/>
      <c r="W350" s="11"/>
      <c r="X350" s="9"/>
      <c r="Y350" s="11"/>
      <c r="Z350" s="11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ht="12.75" customHeight="1">
      <c r="A351" s="9"/>
      <c r="B351" s="9"/>
      <c r="C351" s="10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9"/>
      <c r="S351" s="11"/>
      <c r="T351" s="9"/>
      <c r="U351" s="11"/>
      <c r="V351" s="9"/>
      <c r="W351" s="11"/>
      <c r="X351" s="9"/>
      <c r="Y351" s="11"/>
      <c r="Z351" s="11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ht="12.75" customHeight="1">
      <c r="A352" s="9"/>
      <c r="B352" s="9"/>
      <c r="C352" s="10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9"/>
      <c r="S352" s="11"/>
      <c r="T352" s="9"/>
      <c r="U352" s="11"/>
      <c r="V352" s="9"/>
      <c r="W352" s="11"/>
      <c r="X352" s="9"/>
      <c r="Y352" s="11"/>
      <c r="Z352" s="11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ht="12.75" customHeight="1">
      <c r="A353" s="9"/>
      <c r="B353" s="9"/>
      <c r="C353" s="10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9"/>
      <c r="S353" s="11"/>
      <c r="T353" s="9"/>
      <c r="U353" s="11"/>
      <c r="V353" s="9"/>
      <c r="W353" s="11"/>
      <c r="X353" s="9"/>
      <c r="Y353" s="11"/>
      <c r="Z353" s="11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ht="12.75" customHeight="1">
      <c r="A354" s="9"/>
      <c r="B354" s="9"/>
      <c r="C354" s="10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9"/>
      <c r="S354" s="11"/>
      <c r="T354" s="9"/>
      <c r="U354" s="11"/>
      <c r="V354" s="9"/>
      <c r="W354" s="11"/>
      <c r="X354" s="9"/>
      <c r="Y354" s="11"/>
      <c r="Z354" s="11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ht="12.75" customHeight="1">
      <c r="A355" s="9"/>
      <c r="B355" s="9"/>
      <c r="C355" s="10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9"/>
      <c r="S355" s="11"/>
      <c r="T355" s="9"/>
      <c r="U355" s="11"/>
      <c r="V355" s="9"/>
      <c r="W355" s="11"/>
      <c r="X355" s="9"/>
      <c r="Y355" s="11"/>
      <c r="Z355" s="11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ht="12.75" customHeight="1">
      <c r="A356" s="9"/>
      <c r="B356" s="9"/>
      <c r="C356" s="10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9"/>
      <c r="S356" s="11"/>
      <c r="T356" s="9"/>
      <c r="U356" s="11"/>
      <c r="V356" s="9"/>
      <c r="W356" s="11"/>
      <c r="X356" s="9"/>
      <c r="Y356" s="11"/>
      <c r="Z356" s="11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ht="12.75" customHeight="1">
      <c r="A357" s="9"/>
      <c r="B357" s="9"/>
      <c r="C357" s="10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9"/>
      <c r="S357" s="11"/>
      <c r="T357" s="9"/>
      <c r="U357" s="11"/>
      <c r="V357" s="9"/>
      <c r="W357" s="11"/>
      <c r="X357" s="9"/>
      <c r="Y357" s="11"/>
      <c r="Z357" s="11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ht="12.75" customHeight="1">
      <c r="A358" s="9"/>
      <c r="B358" s="9"/>
      <c r="C358" s="10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9"/>
      <c r="S358" s="11"/>
      <c r="T358" s="9"/>
      <c r="U358" s="11"/>
      <c r="V358" s="9"/>
      <c r="W358" s="11"/>
      <c r="X358" s="9"/>
      <c r="Y358" s="11"/>
      <c r="Z358" s="11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ht="12.75" customHeight="1">
      <c r="A359" s="9"/>
      <c r="B359" s="9"/>
      <c r="C359" s="10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9"/>
      <c r="S359" s="11"/>
      <c r="T359" s="9"/>
      <c r="U359" s="11"/>
      <c r="V359" s="9"/>
      <c r="W359" s="11"/>
      <c r="X359" s="9"/>
      <c r="Y359" s="11"/>
      <c r="Z359" s="11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ht="12.75" customHeight="1">
      <c r="A360" s="9"/>
      <c r="B360" s="9"/>
      <c r="C360" s="10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9"/>
      <c r="S360" s="11"/>
      <c r="T360" s="9"/>
      <c r="U360" s="11"/>
      <c r="V360" s="9"/>
      <c r="W360" s="11"/>
      <c r="X360" s="9"/>
      <c r="Y360" s="11"/>
      <c r="Z360" s="11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ht="12.75" customHeight="1">
      <c r="A361" s="9"/>
      <c r="B361" s="9"/>
      <c r="C361" s="10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9"/>
      <c r="S361" s="11"/>
      <c r="T361" s="9"/>
      <c r="U361" s="11"/>
      <c r="V361" s="9"/>
      <c r="W361" s="11"/>
      <c r="X361" s="9"/>
      <c r="Y361" s="11"/>
      <c r="Z361" s="11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ht="12.75" customHeight="1">
      <c r="A362" s="9"/>
      <c r="B362" s="9"/>
      <c r="C362" s="10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9"/>
      <c r="S362" s="11"/>
      <c r="T362" s="9"/>
      <c r="U362" s="11"/>
      <c r="V362" s="9"/>
      <c r="W362" s="11"/>
      <c r="X362" s="9"/>
      <c r="Y362" s="11"/>
      <c r="Z362" s="11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ht="12.75" customHeight="1">
      <c r="A363" s="9"/>
      <c r="B363" s="9"/>
      <c r="C363" s="10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9"/>
      <c r="S363" s="11"/>
      <c r="T363" s="9"/>
      <c r="U363" s="11"/>
      <c r="V363" s="9"/>
      <c r="W363" s="11"/>
      <c r="X363" s="9"/>
      <c r="Y363" s="11"/>
      <c r="Z363" s="11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ht="12.75" customHeight="1">
      <c r="A364" s="9"/>
      <c r="B364" s="9"/>
      <c r="C364" s="10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9"/>
      <c r="S364" s="11"/>
      <c r="T364" s="9"/>
      <c r="U364" s="11"/>
      <c r="V364" s="9"/>
      <c r="W364" s="11"/>
      <c r="X364" s="9"/>
      <c r="Y364" s="11"/>
      <c r="Z364" s="11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ht="12.75" customHeight="1">
      <c r="A365" s="9"/>
      <c r="B365" s="9"/>
      <c r="C365" s="10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9"/>
      <c r="S365" s="11"/>
      <c r="T365" s="9"/>
      <c r="U365" s="11"/>
      <c r="V365" s="9"/>
      <c r="W365" s="11"/>
      <c r="X365" s="9"/>
      <c r="Y365" s="11"/>
      <c r="Z365" s="11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ht="12.75" customHeight="1">
      <c r="A366" s="9"/>
      <c r="B366" s="9"/>
      <c r="C366" s="10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9"/>
      <c r="S366" s="11"/>
      <c r="T366" s="9"/>
      <c r="U366" s="11"/>
      <c r="V366" s="9"/>
      <c r="W366" s="11"/>
      <c r="X366" s="9"/>
      <c r="Y366" s="11"/>
      <c r="Z366" s="11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ht="12.75" customHeight="1">
      <c r="A367" s="9"/>
      <c r="B367" s="9"/>
      <c r="C367" s="10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9"/>
      <c r="S367" s="11"/>
      <c r="T367" s="9"/>
      <c r="U367" s="11"/>
      <c r="V367" s="9"/>
      <c r="W367" s="11"/>
      <c r="X367" s="9"/>
      <c r="Y367" s="11"/>
      <c r="Z367" s="11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ht="12.75" customHeight="1">
      <c r="A368" s="9"/>
      <c r="B368" s="9"/>
      <c r="C368" s="10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9"/>
      <c r="S368" s="11"/>
      <c r="T368" s="9"/>
      <c r="U368" s="11"/>
      <c r="V368" s="9"/>
      <c r="W368" s="11"/>
      <c r="X368" s="9"/>
      <c r="Y368" s="11"/>
      <c r="Z368" s="11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ht="12.75" customHeight="1">
      <c r="A369" s="9"/>
      <c r="B369" s="9"/>
      <c r="C369" s="10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9"/>
      <c r="S369" s="11"/>
      <c r="T369" s="9"/>
      <c r="U369" s="11"/>
      <c r="V369" s="9"/>
      <c r="W369" s="11"/>
      <c r="X369" s="9"/>
      <c r="Y369" s="11"/>
      <c r="Z369" s="11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ht="12.75" customHeight="1">
      <c r="A370" s="9"/>
      <c r="B370" s="9"/>
      <c r="C370" s="10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9"/>
      <c r="S370" s="11"/>
      <c r="T370" s="9"/>
      <c r="U370" s="11"/>
      <c r="V370" s="9"/>
      <c r="W370" s="11"/>
      <c r="X370" s="9"/>
      <c r="Y370" s="11"/>
      <c r="Z370" s="11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ht="12.75" customHeight="1">
      <c r="A371" s="9"/>
      <c r="B371" s="9"/>
      <c r="C371" s="10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9"/>
      <c r="S371" s="11"/>
      <c r="T371" s="9"/>
      <c r="U371" s="11"/>
      <c r="V371" s="9"/>
      <c r="W371" s="11"/>
      <c r="X371" s="9"/>
      <c r="Y371" s="11"/>
      <c r="Z371" s="11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ht="12.75" customHeight="1">
      <c r="A372" s="9"/>
      <c r="B372" s="9"/>
      <c r="C372" s="10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9"/>
      <c r="S372" s="11"/>
      <c r="T372" s="9"/>
      <c r="U372" s="11"/>
      <c r="V372" s="9"/>
      <c r="W372" s="11"/>
      <c r="X372" s="9"/>
      <c r="Y372" s="11"/>
      <c r="Z372" s="11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ht="12.75" customHeight="1">
      <c r="A373" s="9"/>
      <c r="B373" s="9"/>
      <c r="C373" s="10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9"/>
      <c r="S373" s="11"/>
      <c r="T373" s="9"/>
      <c r="U373" s="11"/>
      <c r="V373" s="9"/>
      <c r="W373" s="11"/>
      <c r="X373" s="9"/>
      <c r="Y373" s="11"/>
      <c r="Z373" s="11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ht="12.75" customHeight="1">
      <c r="A374" s="9"/>
      <c r="B374" s="9"/>
      <c r="C374" s="10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9"/>
      <c r="S374" s="11"/>
      <c r="T374" s="9"/>
      <c r="U374" s="11"/>
      <c r="V374" s="9"/>
      <c r="W374" s="11"/>
      <c r="X374" s="9"/>
      <c r="Y374" s="11"/>
      <c r="Z374" s="11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ht="12.75" customHeight="1">
      <c r="A375" s="9"/>
      <c r="B375" s="9"/>
      <c r="C375" s="10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9"/>
      <c r="S375" s="11"/>
      <c r="T375" s="9"/>
      <c r="U375" s="11"/>
      <c r="V375" s="9"/>
      <c r="W375" s="11"/>
      <c r="X375" s="9"/>
      <c r="Y375" s="11"/>
      <c r="Z375" s="11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ht="12.75" customHeight="1">
      <c r="A376" s="9"/>
      <c r="B376" s="9"/>
      <c r="C376" s="10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9"/>
      <c r="S376" s="11"/>
      <c r="T376" s="9"/>
      <c r="U376" s="11"/>
      <c r="V376" s="9"/>
      <c r="W376" s="11"/>
      <c r="X376" s="9"/>
      <c r="Y376" s="11"/>
      <c r="Z376" s="11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ht="12.75" customHeight="1">
      <c r="A377" s="9"/>
      <c r="B377" s="9"/>
      <c r="C377" s="10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9"/>
      <c r="S377" s="11"/>
      <c r="T377" s="9"/>
      <c r="U377" s="11"/>
      <c r="V377" s="9"/>
      <c r="W377" s="11"/>
      <c r="X377" s="9"/>
      <c r="Y377" s="11"/>
      <c r="Z377" s="11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ht="12.75" customHeight="1">
      <c r="A378" s="9"/>
      <c r="B378" s="9"/>
      <c r="C378" s="10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9"/>
      <c r="S378" s="11"/>
      <c r="T378" s="9"/>
      <c r="U378" s="11"/>
      <c r="V378" s="9"/>
      <c r="W378" s="11"/>
      <c r="X378" s="9"/>
      <c r="Y378" s="11"/>
      <c r="Z378" s="11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ht="12.75" customHeight="1">
      <c r="A379" s="9"/>
      <c r="B379" s="9"/>
      <c r="C379" s="10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9"/>
      <c r="S379" s="11"/>
      <c r="T379" s="9"/>
      <c r="U379" s="11"/>
      <c r="V379" s="9"/>
      <c r="W379" s="11"/>
      <c r="X379" s="9"/>
      <c r="Y379" s="11"/>
      <c r="Z379" s="11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ht="12.75" customHeight="1">
      <c r="A380" s="9"/>
      <c r="B380" s="9"/>
      <c r="C380" s="10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9"/>
      <c r="S380" s="11"/>
      <c r="T380" s="9"/>
      <c r="U380" s="11"/>
      <c r="V380" s="9"/>
      <c r="W380" s="11"/>
      <c r="X380" s="9"/>
      <c r="Y380" s="11"/>
      <c r="Z380" s="11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ht="12.75" customHeight="1">
      <c r="A381" s="9"/>
      <c r="B381" s="9"/>
      <c r="C381" s="10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9"/>
      <c r="S381" s="11"/>
      <c r="T381" s="9"/>
      <c r="U381" s="11"/>
      <c r="V381" s="9"/>
      <c r="W381" s="11"/>
      <c r="X381" s="9"/>
      <c r="Y381" s="11"/>
      <c r="Z381" s="11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ht="12.75" customHeight="1">
      <c r="A382" s="9"/>
      <c r="B382" s="9"/>
      <c r="C382" s="10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9"/>
      <c r="S382" s="11"/>
      <c r="T382" s="9"/>
      <c r="U382" s="11"/>
      <c r="V382" s="9"/>
      <c r="W382" s="11"/>
      <c r="X382" s="9"/>
      <c r="Y382" s="11"/>
      <c r="Z382" s="11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ht="12.75" customHeight="1">
      <c r="A383" s="9"/>
      <c r="B383" s="9"/>
      <c r="C383" s="10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9"/>
      <c r="S383" s="11"/>
      <c r="T383" s="9"/>
      <c r="U383" s="11"/>
      <c r="V383" s="9"/>
      <c r="W383" s="11"/>
      <c r="X383" s="9"/>
      <c r="Y383" s="11"/>
      <c r="Z383" s="11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ht="12.75" customHeight="1">
      <c r="A384" s="9"/>
      <c r="B384" s="9"/>
      <c r="C384" s="10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9"/>
      <c r="S384" s="11"/>
      <c r="T384" s="9"/>
      <c r="U384" s="11"/>
      <c r="V384" s="9"/>
      <c r="W384" s="11"/>
      <c r="X384" s="9"/>
      <c r="Y384" s="11"/>
      <c r="Z384" s="11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ht="12.75" customHeight="1">
      <c r="A385" s="9"/>
      <c r="B385" s="9"/>
      <c r="C385" s="10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9"/>
      <c r="S385" s="11"/>
      <c r="T385" s="9"/>
      <c r="U385" s="11"/>
      <c r="V385" s="9"/>
      <c r="W385" s="11"/>
      <c r="X385" s="9"/>
      <c r="Y385" s="11"/>
      <c r="Z385" s="11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ht="12.75" customHeight="1">
      <c r="A386" s="9"/>
      <c r="B386" s="9"/>
      <c r="C386" s="10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9"/>
      <c r="S386" s="11"/>
      <c r="T386" s="9"/>
      <c r="U386" s="11"/>
      <c r="V386" s="9"/>
      <c r="W386" s="11"/>
      <c r="X386" s="9"/>
      <c r="Y386" s="11"/>
      <c r="Z386" s="11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ht="12.75" customHeight="1">
      <c r="A387" s="9"/>
      <c r="B387" s="9"/>
      <c r="C387" s="10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9"/>
      <c r="S387" s="11"/>
      <c r="T387" s="9"/>
      <c r="U387" s="11"/>
      <c r="V387" s="9"/>
      <c r="W387" s="11"/>
      <c r="X387" s="9"/>
      <c r="Y387" s="11"/>
      <c r="Z387" s="11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ht="12.75" customHeight="1">
      <c r="A388" s="9"/>
      <c r="B388" s="9"/>
      <c r="C388" s="10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9"/>
      <c r="S388" s="11"/>
      <c r="T388" s="9"/>
      <c r="U388" s="11"/>
      <c r="V388" s="9"/>
      <c r="W388" s="11"/>
      <c r="X388" s="9"/>
      <c r="Y388" s="11"/>
      <c r="Z388" s="11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ht="12.75" customHeight="1">
      <c r="A389" s="9"/>
      <c r="B389" s="9"/>
      <c r="C389" s="10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9"/>
      <c r="S389" s="11"/>
      <c r="T389" s="9"/>
      <c r="U389" s="11"/>
      <c r="V389" s="9"/>
      <c r="W389" s="11"/>
      <c r="X389" s="9"/>
      <c r="Y389" s="11"/>
      <c r="Z389" s="11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ht="12.75" customHeight="1">
      <c r="A390" s="9"/>
      <c r="B390" s="9"/>
      <c r="C390" s="10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9"/>
      <c r="S390" s="11"/>
      <c r="T390" s="9"/>
      <c r="U390" s="11"/>
      <c r="V390" s="9"/>
      <c r="W390" s="11"/>
      <c r="X390" s="9"/>
      <c r="Y390" s="11"/>
      <c r="Z390" s="11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ht="12.75" customHeight="1">
      <c r="A391" s="9"/>
      <c r="B391" s="9"/>
      <c r="C391" s="10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9"/>
      <c r="S391" s="11"/>
      <c r="T391" s="9"/>
      <c r="U391" s="11"/>
      <c r="V391" s="9"/>
      <c r="W391" s="11"/>
      <c r="X391" s="9"/>
      <c r="Y391" s="11"/>
      <c r="Z391" s="11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ht="12.75" customHeight="1">
      <c r="A392" s="9"/>
      <c r="B392" s="9"/>
      <c r="C392" s="10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9"/>
      <c r="S392" s="11"/>
      <c r="T392" s="9"/>
      <c r="U392" s="11"/>
      <c r="V392" s="9"/>
      <c r="W392" s="11"/>
      <c r="X392" s="9"/>
      <c r="Y392" s="11"/>
      <c r="Z392" s="11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ht="12.75" customHeight="1">
      <c r="A393" s="9"/>
      <c r="B393" s="9"/>
      <c r="C393" s="10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9"/>
      <c r="S393" s="11"/>
      <c r="T393" s="9"/>
      <c r="U393" s="11"/>
      <c r="V393" s="9"/>
      <c r="W393" s="11"/>
      <c r="X393" s="9"/>
      <c r="Y393" s="11"/>
      <c r="Z393" s="11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ht="12.75" customHeight="1">
      <c r="A394" s="9"/>
      <c r="B394" s="9"/>
      <c r="C394" s="10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9"/>
      <c r="S394" s="11"/>
      <c r="T394" s="9"/>
      <c r="U394" s="11"/>
      <c r="V394" s="9"/>
      <c r="W394" s="11"/>
      <c r="X394" s="9"/>
      <c r="Y394" s="11"/>
      <c r="Z394" s="11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ht="12.75" customHeight="1">
      <c r="A395" s="9"/>
      <c r="B395" s="9"/>
      <c r="C395" s="10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9"/>
      <c r="S395" s="11"/>
      <c r="T395" s="9"/>
      <c r="U395" s="11"/>
      <c r="V395" s="9"/>
      <c r="W395" s="11"/>
      <c r="X395" s="9"/>
      <c r="Y395" s="11"/>
      <c r="Z395" s="11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ht="12.75" customHeight="1">
      <c r="A396" s="9"/>
      <c r="B396" s="9"/>
      <c r="C396" s="10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9"/>
      <c r="S396" s="11"/>
      <c r="T396" s="9"/>
      <c r="U396" s="11"/>
      <c r="V396" s="9"/>
      <c r="W396" s="11"/>
      <c r="X396" s="9"/>
      <c r="Y396" s="11"/>
      <c r="Z396" s="11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ht="12.75" customHeight="1">
      <c r="A397" s="9"/>
      <c r="B397" s="9"/>
      <c r="C397" s="10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9"/>
      <c r="S397" s="11"/>
      <c r="T397" s="9"/>
      <c r="U397" s="11"/>
      <c r="V397" s="9"/>
      <c r="W397" s="11"/>
      <c r="X397" s="9"/>
      <c r="Y397" s="11"/>
      <c r="Z397" s="11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ht="12.75" customHeight="1">
      <c r="A398" s="9"/>
      <c r="B398" s="9"/>
      <c r="C398" s="10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9"/>
      <c r="S398" s="11"/>
      <c r="T398" s="9"/>
      <c r="U398" s="11"/>
      <c r="V398" s="9"/>
      <c r="W398" s="11"/>
      <c r="X398" s="9"/>
      <c r="Y398" s="11"/>
      <c r="Z398" s="11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ht="12.75" customHeight="1">
      <c r="A399" s="9"/>
      <c r="B399" s="9"/>
      <c r="C399" s="10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9"/>
      <c r="S399" s="11"/>
      <c r="T399" s="9"/>
      <c r="U399" s="11"/>
      <c r="V399" s="9"/>
      <c r="W399" s="11"/>
      <c r="X399" s="9"/>
      <c r="Y399" s="11"/>
      <c r="Z399" s="11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ht="12.75" customHeight="1">
      <c r="A400" s="9"/>
      <c r="B400" s="9"/>
      <c r="C400" s="10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9"/>
      <c r="S400" s="11"/>
      <c r="T400" s="9"/>
      <c r="U400" s="11"/>
      <c r="V400" s="9"/>
      <c r="W400" s="11"/>
      <c r="X400" s="9"/>
      <c r="Y400" s="11"/>
      <c r="Z400" s="11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ht="12.75" customHeight="1">
      <c r="A401" s="9"/>
      <c r="B401" s="9"/>
      <c r="C401" s="10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9"/>
      <c r="S401" s="11"/>
      <c r="T401" s="9"/>
      <c r="U401" s="11"/>
      <c r="V401" s="9"/>
      <c r="W401" s="11"/>
      <c r="X401" s="9"/>
      <c r="Y401" s="11"/>
      <c r="Z401" s="11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ht="12.75" customHeight="1">
      <c r="A402" s="9"/>
      <c r="B402" s="9"/>
      <c r="C402" s="10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9"/>
      <c r="S402" s="11"/>
      <c r="T402" s="9"/>
      <c r="U402" s="11"/>
      <c r="V402" s="9"/>
      <c r="W402" s="11"/>
      <c r="X402" s="9"/>
      <c r="Y402" s="11"/>
      <c r="Z402" s="11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ht="12.75" customHeight="1">
      <c r="A403" s="9"/>
      <c r="B403" s="9"/>
      <c r="C403" s="10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9"/>
      <c r="S403" s="11"/>
      <c r="T403" s="9"/>
      <c r="U403" s="11"/>
      <c r="V403" s="9"/>
      <c r="W403" s="11"/>
      <c r="X403" s="9"/>
      <c r="Y403" s="11"/>
      <c r="Z403" s="11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ht="12.75" customHeight="1">
      <c r="A404" s="9"/>
      <c r="B404" s="9"/>
      <c r="C404" s="10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9"/>
      <c r="S404" s="11"/>
      <c r="T404" s="9"/>
      <c r="U404" s="11"/>
      <c r="V404" s="9"/>
      <c r="W404" s="11"/>
      <c r="X404" s="9"/>
      <c r="Y404" s="11"/>
      <c r="Z404" s="11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ht="12.75" customHeight="1">
      <c r="A405" s="9"/>
      <c r="B405" s="9"/>
      <c r="C405" s="10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9"/>
      <c r="S405" s="11"/>
      <c r="T405" s="9"/>
      <c r="U405" s="11"/>
      <c r="V405" s="9"/>
      <c r="W405" s="11"/>
      <c r="X405" s="9"/>
      <c r="Y405" s="11"/>
      <c r="Z405" s="11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ht="12.75" customHeight="1">
      <c r="A406" s="9"/>
      <c r="B406" s="9"/>
      <c r="C406" s="10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9"/>
      <c r="S406" s="11"/>
      <c r="T406" s="9"/>
      <c r="U406" s="11"/>
      <c r="V406" s="9"/>
      <c r="W406" s="11"/>
      <c r="X406" s="9"/>
      <c r="Y406" s="11"/>
      <c r="Z406" s="11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ht="12.75" customHeight="1">
      <c r="A407" s="9"/>
      <c r="B407" s="9"/>
      <c r="C407" s="10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9"/>
      <c r="S407" s="11"/>
      <c r="T407" s="9"/>
      <c r="U407" s="11"/>
      <c r="V407" s="9"/>
      <c r="W407" s="11"/>
      <c r="X407" s="9"/>
      <c r="Y407" s="11"/>
      <c r="Z407" s="11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ht="12.75" customHeight="1">
      <c r="A408" s="9"/>
      <c r="B408" s="9"/>
      <c r="C408" s="10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9"/>
      <c r="S408" s="11"/>
      <c r="T408" s="9"/>
      <c r="U408" s="11"/>
      <c r="V408" s="9"/>
      <c r="W408" s="11"/>
      <c r="X408" s="9"/>
      <c r="Y408" s="11"/>
      <c r="Z408" s="11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ht="12.75" customHeight="1">
      <c r="A409" s="9"/>
      <c r="B409" s="9"/>
      <c r="C409" s="10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9"/>
      <c r="S409" s="11"/>
      <c r="T409" s="9"/>
      <c r="U409" s="11"/>
      <c r="V409" s="9"/>
      <c r="W409" s="11"/>
      <c r="X409" s="9"/>
      <c r="Y409" s="11"/>
      <c r="Z409" s="11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ht="12.75" customHeight="1">
      <c r="A410" s="9"/>
      <c r="B410" s="9"/>
      <c r="C410" s="10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9"/>
      <c r="S410" s="11"/>
      <c r="T410" s="9"/>
      <c r="U410" s="11"/>
      <c r="V410" s="9"/>
      <c r="W410" s="11"/>
      <c r="X410" s="9"/>
      <c r="Y410" s="11"/>
      <c r="Z410" s="11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ht="12.75" customHeight="1">
      <c r="A411" s="9"/>
      <c r="B411" s="9"/>
      <c r="C411" s="10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9"/>
      <c r="S411" s="11"/>
      <c r="T411" s="9"/>
      <c r="U411" s="11"/>
      <c r="V411" s="9"/>
      <c r="W411" s="11"/>
      <c r="X411" s="9"/>
      <c r="Y411" s="11"/>
      <c r="Z411" s="11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ht="12.75" customHeight="1">
      <c r="A412" s="9"/>
      <c r="B412" s="9"/>
      <c r="C412" s="10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9"/>
      <c r="S412" s="11"/>
      <c r="T412" s="9"/>
      <c r="U412" s="11"/>
      <c r="V412" s="9"/>
      <c r="W412" s="11"/>
      <c r="X412" s="9"/>
      <c r="Y412" s="11"/>
      <c r="Z412" s="11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ht="12.75" customHeight="1">
      <c r="A413" s="9"/>
      <c r="B413" s="9"/>
      <c r="C413" s="10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9"/>
      <c r="S413" s="11"/>
      <c r="T413" s="9"/>
      <c r="U413" s="11"/>
      <c r="V413" s="9"/>
      <c r="W413" s="11"/>
      <c r="X413" s="9"/>
      <c r="Y413" s="11"/>
      <c r="Z413" s="11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ht="12.75" customHeight="1">
      <c r="A414" s="9"/>
      <c r="B414" s="9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9"/>
      <c r="S414" s="11"/>
      <c r="T414" s="9"/>
      <c r="U414" s="11"/>
      <c r="V414" s="9"/>
      <c r="W414" s="11"/>
      <c r="X414" s="9"/>
      <c r="Y414" s="11"/>
      <c r="Z414" s="11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ht="12.75" customHeight="1">
      <c r="A415" s="9"/>
      <c r="B415" s="9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9"/>
      <c r="S415" s="11"/>
      <c r="T415" s="9"/>
      <c r="U415" s="11"/>
      <c r="V415" s="9"/>
      <c r="W415" s="11"/>
      <c r="X415" s="9"/>
      <c r="Y415" s="11"/>
      <c r="Z415" s="11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ht="12.75" customHeight="1">
      <c r="A416" s="9"/>
      <c r="B416" s="9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9"/>
      <c r="S416" s="11"/>
      <c r="T416" s="9"/>
      <c r="U416" s="11"/>
      <c r="V416" s="9"/>
      <c r="W416" s="11"/>
      <c r="X416" s="9"/>
      <c r="Y416" s="11"/>
      <c r="Z416" s="11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ht="12.75" customHeight="1">
      <c r="A417" s="9"/>
      <c r="B417" s="9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9"/>
      <c r="S417" s="11"/>
      <c r="T417" s="9"/>
      <c r="U417" s="11"/>
      <c r="V417" s="9"/>
      <c r="W417" s="11"/>
      <c r="X417" s="9"/>
      <c r="Y417" s="11"/>
      <c r="Z417" s="11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ht="12.75" customHeight="1">
      <c r="A418" s="9"/>
      <c r="B418" s="9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9"/>
      <c r="S418" s="11"/>
      <c r="T418" s="9"/>
      <c r="U418" s="11"/>
      <c r="V418" s="9"/>
      <c r="W418" s="11"/>
      <c r="X418" s="9"/>
      <c r="Y418" s="11"/>
      <c r="Z418" s="11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ht="12.75" customHeight="1">
      <c r="A419" s="9"/>
      <c r="B419" s="9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9"/>
      <c r="S419" s="11"/>
      <c r="T419" s="9"/>
      <c r="U419" s="11"/>
      <c r="V419" s="9"/>
      <c r="W419" s="11"/>
      <c r="X419" s="9"/>
      <c r="Y419" s="11"/>
      <c r="Z419" s="11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ht="12.75" customHeight="1">
      <c r="A420" s="9"/>
      <c r="B420" s="9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9"/>
      <c r="S420" s="11"/>
      <c r="T420" s="9"/>
      <c r="U420" s="11"/>
      <c r="V420" s="9"/>
      <c r="W420" s="11"/>
      <c r="X420" s="9"/>
      <c r="Y420" s="11"/>
      <c r="Z420" s="11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ht="12.75" customHeight="1">
      <c r="A421" s="9"/>
      <c r="B421" s="9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9"/>
      <c r="S421" s="11"/>
      <c r="T421" s="9"/>
      <c r="U421" s="11"/>
      <c r="V421" s="9"/>
      <c r="W421" s="11"/>
      <c r="X421" s="9"/>
      <c r="Y421" s="11"/>
      <c r="Z421" s="11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ht="12.75" customHeight="1">
      <c r="A422" s="9"/>
      <c r="B422" s="9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9"/>
      <c r="S422" s="11"/>
      <c r="T422" s="9"/>
      <c r="U422" s="11"/>
      <c r="V422" s="9"/>
      <c r="W422" s="11"/>
      <c r="X422" s="9"/>
      <c r="Y422" s="11"/>
      <c r="Z422" s="11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ht="12.75" customHeight="1">
      <c r="A423" s="9"/>
      <c r="B423" s="9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9"/>
      <c r="S423" s="11"/>
      <c r="T423" s="9"/>
      <c r="U423" s="11"/>
      <c r="V423" s="9"/>
      <c r="W423" s="11"/>
      <c r="X423" s="9"/>
      <c r="Y423" s="11"/>
      <c r="Z423" s="11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ht="12.75" customHeight="1">
      <c r="A424" s="9"/>
      <c r="B424" s="9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9"/>
      <c r="S424" s="11"/>
      <c r="T424" s="9"/>
      <c r="U424" s="11"/>
      <c r="V424" s="9"/>
      <c r="W424" s="11"/>
      <c r="X424" s="9"/>
      <c r="Y424" s="11"/>
      <c r="Z424" s="11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ht="12.75" customHeight="1">
      <c r="A425" s="9"/>
      <c r="B425" s="9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9"/>
      <c r="S425" s="11"/>
      <c r="T425" s="9"/>
      <c r="U425" s="11"/>
      <c r="V425" s="9"/>
      <c r="W425" s="11"/>
      <c r="X425" s="9"/>
      <c r="Y425" s="11"/>
      <c r="Z425" s="11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ht="12.75" customHeight="1">
      <c r="A426" s="9"/>
      <c r="B426" s="9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9"/>
      <c r="S426" s="11"/>
      <c r="T426" s="9"/>
      <c r="U426" s="11"/>
      <c r="V426" s="9"/>
      <c r="W426" s="11"/>
      <c r="X426" s="9"/>
      <c r="Y426" s="11"/>
      <c r="Z426" s="11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ht="12.75" customHeight="1">
      <c r="A427" s="9"/>
      <c r="B427" s="9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9"/>
      <c r="S427" s="11"/>
      <c r="T427" s="9"/>
      <c r="U427" s="11"/>
      <c r="V427" s="9"/>
      <c r="W427" s="11"/>
      <c r="X427" s="9"/>
      <c r="Y427" s="11"/>
      <c r="Z427" s="11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ht="12.75" customHeight="1">
      <c r="A428" s="9"/>
      <c r="B428" s="9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9"/>
      <c r="S428" s="11"/>
      <c r="T428" s="9"/>
      <c r="U428" s="11"/>
      <c r="V428" s="9"/>
      <c r="W428" s="11"/>
      <c r="X428" s="9"/>
      <c r="Y428" s="11"/>
      <c r="Z428" s="11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ht="12.75" customHeight="1">
      <c r="A429" s="9"/>
      <c r="B429" s="9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9"/>
      <c r="S429" s="11"/>
      <c r="T429" s="9"/>
      <c r="U429" s="11"/>
      <c r="V429" s="9"/>
      <c r="W429" s="11"/>
      <c r="X429" s="9"/>
      <c r="Y429" s="11"/>
      <c r="Z429" s="11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ht="12.75" customHeight="1">
      <c r="A430" s="9"/>
      <c r="B430" s="9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9"/>
      <c r="S430" s="11"/>
      <c r="T430" s="9"/>
      <c r="U430" s="11"/>
      <c r="V430" s="9"/>
      <c r="W430" s="11"/>
      <c r="X430" s="9"/>
      <c r="Y430" s="11"/>
      <c r="Z430" s="11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ht="12.75" customHeight="1">
      <c r="A431" s="9"/>
      <c r="B431" s="9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9"/>
      <c r="S431" s="11"/>
      <c r="T431" s="9"/>
      <c r="U431" s="11"/>
      <c r="V431" s="9"/>
      <c r="W431" s="11"/>
      <c r="X431" s="9"/>
      <c r="Y431" s="11"/>
      <c r="Z431" s="11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ht="12.75" customHeight="1">
      <c r="A432" s="9"/>
      <c r="B432" s="9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9"/>
      <c r="S432" s="11"/>
      <c r="T432" s="9"/>
      <c r="U432" s="11"/>
      <c r="V432" s="9"/>
      <c r="W432" s="11"/>
      <c r="X432" s="9"/>
      <c r="Y432" s="11"/>
      <c r="Z432" s="11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ht="12.75" customHeight="1">
      <c r="A433" s="9"/>
      <c r="B433" s="9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9"/>
      <c r="S433" s="11"/>
      <c r="T433" s="9"/>
      <c r="U433" s="11"/>
      <c r="V433" s="9"/>
      <c r="W433" s="11"/>
      <c r="X433" s="9"/>
      <c r="Y433" s="11"/>
      <c r="Z433" s="11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ht="12.75" customHeight="1">
      <c r="A434" s="9"/>
      <c r="B434" s="9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9"/>
      <c r="S434" s="11"/>
      <c r="T434" s="9"/>
      <c r="U434" s="11"/>
      <c r="V434" s="9"/>
      <c r="W434" s="11"/>
      <c r="X434" s="9"/>
      <c r="Y434" s="11"/>
      <c r="Z434" s="11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ht="12.75" customHeight="1">
      <c r="A435" s="9"/>
      <c r="B435" s="9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9"/>
      <c r="S435" s="11"/>
      <c r="T435" s="9"/>
      <c r="U435" s="11"/>
      <c r="V435" s="9"/>
      <c r="W435" s="11"/>
      <c r="X435" s="9"/>
      <c r="Y435" s="11"/>
      <c r="Z435" s="11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ht="12.75" customHeight="1">
      <c r="A436" s="9"/>
      <c r="B436" s="9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9"/>
      <c r="S436" s="11"/>
      <c r="T436" s="9"/>
      <c r="U436" s="11"/>
      <c r="V436" s="9"/>
      <c r="W436" s="11"/>
      <c r="X436" s="9"/>
      <c r="Y436" s="11"/>
      <c r="Z436" s="11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ht="12.75" customHeight="1">
      <c r="A437" s="9"/>
      <c r="B437" s="9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9"/>
      <c r="S437" s="11"/>
      <c r="T437" s="9"/>
      <c r="U437" s="11"/>
      <c r="V437" s="9"/>
      <c r="W437" s="11"/>
      <c r="X437" s="9"/>
      <c r="Y437" s="11"/>
      <c r="Z437" s="11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ht="12.75" customHeight="1">
      <c r="A438" s="9"/>
      <c r="B438" s="9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9"/>
      <c r="S438" s="11"/>
      <c r="T438" s="9"/>
      <c r="U438" s="11"/>
      <c r="V438" s="9"/>
      <c r="W438" s="11"/>
      <c r="X438" s="9"/>
      <c r="Y438" s="11"/>
      <c r="Z438" s="11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ht="12.75" customHeight="1">
      <c r="A439" s="9"/>
      <c r="B439" s="9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9"/>
      <c r="S439" s="11"/>
      <c r="T439" s="9"/>
      <c r="U439" s="11"/>
      <c r="V439" s="9"/>
      <c r="W439" s="11"/>
      <c r="X439" s="9"/>
      <c r="Y439" s="11"/>
      <c r="Z439" s="11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ht="12.75" customHeight="1">
      <c r="A440" s="9"/>
      <c r="B440" s="9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9"/>
      <c r="S440" s="11"/>
      <c r="T440" s="9"/>
      <c r="U440" s="11"/>
      <c r="V440" s="9"/>
      <c r="W440" s="11"/>
      <c r="X440" s="9"/>
      <c r="Y440" s="11"/>
      <c r="Z440" s="11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ht="12.75" customHeight="1">
      <c r="A441" s="9"/>
      <c r="B441" s="9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9"/>
      <c r="S441" s="11"/>
      <c r="T441" s="9"/>
      <c r="U441" s="11"/>
      <c r="V441" s="9"/>
      <c r="W441" s="11"/>
      <c r="X441" s="9"/>
      <c r="Y441" s="11"/>
      <c r="Z441" s="11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ht="12.75" customHeight="1">
      <c r="A442" s="9"/>
      <c r="B442" s="9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9"/>
      <c r="S442" s="11"/>
      <c r="T442" s="9"/>
      <c r="U442" s="11"/>
      <c r="V442" s="9"/>
      <c r="W442" s="11"/>
      <c r="X442" s="9"/>
      <c r="Y442" s="11"/>
      <c r="Z442" s="11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ht="12.75" customHeight="1">
      <c r="A443" s="9"/>
      <c r="B443" s="9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9"/>
      <c r="S443" s="11"/>
      <c r="T443" s="9"/>
      <c r="U443" s="11"/>
      <c r="V443" s="9"/>
      <c r="W443" s="11"/>
      <c r="X443" s="9"/>
      <c r="Y443" s="11"/>
      <c r="Z443" s="11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ht="12.75" customHeight="1">
      <c r="A444" s="9"/>
      <c r="B444" s="9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9"/>
      <c r="S444" s="11"/>
      <c r="T444" s="9"/>
      <c r="U444" s="11"/>
      <c r="V444" s="9"/>
      <c r="W444" s="11"/>
      <c r="X444" s="9"/>
      <c r="Y444" s="11"/>
      <c r="Z444" s="11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ht="12.75" customHeight="1">
      <c r="A445" s="9"/>
      <c r="B445" s="9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9"/>
      <c r="S445" s="11"/>
      <c r="T445" s="9"/>
      <c r="U445" s="11"/>
      <c r="V445" s="9"/>
      <c r="W445" s="11"/>
      <c r="X445" s="9"/>
      <c r="Y445" s="11"/>
      <c r="Z445" s="11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ht="12.75" customHeight="1">
      <c r="A446" s="9"/>
      <c r="B446" s="9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9"/>
      <c r="S446" s="11"/>
      <c r="T446" s="9"/>
      <c r="U446" s="11"/>
      <c r="V446" s="9"/>
      <c r="W446" s="11"/>
      <c r="X446" s="9"/>
      <c r="Y446" s="11"/>
      <c r="Z446" s="11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ht="12.75" customHeight="1">
      <c r="A447" s="9"/>
      <c r="B447" s="9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9"/>
      <c r="S447" s="11"/>
      <c r="T447" s="9"/>
      <c r="U447" s="11"/>
      <c r="V447" s="9"/>
      <c r="W447" s="11"/>
      <c r="X447" s="9"/>
      <c r="Y447" s="11"/>
      <c r="Z447" s="11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ht="12.75" customHeight="1">
      <c r="A448" s="9"/>
      <c r="B448" s="9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9"/>
      <c r="S448" s="11"/>
      <c r="T448" s="9"/>
      <c r="U448" s="11"/>
      <c r="V448" s="9"/>
      <c r="W448" s="11"/>
      <c r="X448" s="9"/>
      <c r="Y448" s="11"/>
      <c r="Z448" s="11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ht="12.75" customHeight="1">
      <c r="A449" s="9"/>
      <c r="B449" s="9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9"/>
      <c r="S449" s="11"/>
      <c r="T449" s="9"/>
      <c r="U449" s="11"/>
      <c r="V449" s="9"/>
      <c r="W449" s="11"/>
      <c r="X449" s="9"/>
      <c r="Y449" s="11"/>
      <c r="Z449" s="11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ht="12.75" customHeight="1">
      <c r="A450" s="9"/>
      <c r="B450" s="9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9"/>
      <c r="S450" s="11"/>
      <c r="T450" s="9"/>
      <c r="U450" s="11"/>
      <c r="V450" s="9"/>
      <c r="W450" s="11"/>
      <c r="X450" s="9"/>
      <c r="Y450" s="11"/>
      <c r="Z450" s="11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ht="12.75" customHeight="1">
      <c r="A451" s="9"/>
      <c r="B451" s="9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9"/>
      <c r="S451" s="11"/>
      <c r="T451" s="9"/>
      <c r="U451" s="11"/>
      <c r="V451" s="9"/>
      <c r="W451" s="11"/>
      <c r="X451" s="9"/>
      <c r="Y451" s="11"/>
      <c r="Z451" s="11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ht="12.75" customHeight="1">
      <c r="A452" s="9"/>
      <c r="B452" s="9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9"/>
      <c r="S452" s="11"/>
      <c r="T452" s="9"/>
      <c r="U452" s="11"/>
      <c r="V452" s="9"/>
      <c r="W452" s="11"/>
      <c r="X452" s="9"/>
      <c r="Y452" s="11"/>
      <c r="Z452" s="11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ht="12.75" customHeight="1">
      <c r="A453" s="9"/>
      <c r="B453" s="9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9"/>
      <c r="S453" s="11"/>
      <c r="T453" s="9"/>
      <c r="U453" s="11"/>
      <c r="V453" s="9"/>
      <c r="W453" s="11"/>
      <c r="X453" s="9"/>
      <c r="Y453" s="11"/>
      <c r="Z453" s="11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ht="12.75" customHeight="1">
      <c r="A454" s="9"/>
      <c r="B454" s="9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9"/>
      <c r="S454" s="11"/>
      <c r="T454" s="9"/>
      <c r="U454" s="11"/>
      <c r="V454" s="9"/>
      <c r="W454" s="11"/>
      <c r="X454" s="9"/>
      <c r="Y454" s="11"/>
      <c r="Z454" s="11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ht="12.75" customHeight="1">
      <c r="A455" s="9"/>
      <c r="B455" s="9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9"/>
      <c r="S455" s="11"/>
      <c r="T455" s="9"/>
      <c r="U455" s="11"/>
      <c r="V455" s="9"/>
      <c r="W455" s="11"/>
      <c r="X455" s="9"/>
      <c r="Y455" s="11"/>
      <c r="Z455" s="11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ht="12.75" customHeight="1">
      <c r="A456" s="9"/>
      <c r="B456" s="9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9"/>
      <c r="S456" s="11"/>
      <c r="T456" s="9"/>
      <c r="U456" s="11"/>
      <c r="V456" s="9"/>
      <c r="W456" s="11"/>
      <c r="X456" s="9"/>
      <c r="Y456" s="11"/>
      <c r="Z456" s="11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ht="12.75" customHeight="1">
      <c r="A457" s="9"/>
      <c r="B457" s="9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9"/>
      <c r="S457" s="11"/>
      <c r="T457" s="9"/>
      <c r="U457" s="11"/>
      <c r="V457" s="9"/>
      <c r="W457" s="11"/>
      <c r="X457" s="9"/>
      <c r="Y457" s="11"/>
      <c r="Z457" s="11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ht="12.75" customHeight="1">
      <c r="A458" s="9"/>
      <c r="B458" s="9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9"/>
      <c r="S458" s="11"/>
      <c r="T458" s="9"/>
      <c r="U458" s="11"/>
      <c r="V458" s="9"/>
      <c r="W458" s="11"/>
      <c r="X458" s="9"/>
      <c r="Y458" s="11"/>
      <c r="Z458" s="11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ht="12.75" customHeight="1">
      <c r="A459" s="9"/>
      <c r="B459" s="9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9"/>
      <c r="S459" s="11"/>
      <c r="T459" s="9"/>
      <c r="U459" s="11"/>
      <c r="V459" s="9"/>
      <c r="W459" s="11"/>
      <c r="X459" s="9"/>
      <c r="Y459" s="11"/>
      <c r="Z459" s="11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ht="12.75" customHeight="1">
      <c r="A460" s="9"/>
      <c r="B460" s="9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9"/>
      <c r="S460" s="11"/>
      <c r="T460" s="9"/>
      <c r="U460" s="11"/>
      <c r="V460" s="9"/>
      <c r="W460" s="11"/>
      <c r="X460" s="9"/>
      <c r="Y460" s="11"/>
      <c r="Z460" s="11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ht="12.75" customHeight="1">
      <c r="A461" s="9"/>
      <c r="B461" s="9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9"/>
      <c r="S461" s="11"/>
      <c r="T461" s="9"/>
      <c r="U461" s="11"/>
      <c r="V461" s="9"/>
      <c r="W461" s="11"/>
      <c r="X461" s="9"/>
      <c r="Y461" s="11"/>
      <c r="Z461" s="11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ht="12.75" customHeight="1">
      <c r="A462" s="9"/>
      <c r="B462" s="9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9"/>
      <c r="S462" s="11"/>
      <c r="T462" s="9"/>
      <c r="U462" s="11"/>
      <c r="V462" s="9"/>
      <c r="W462" s="11"/>
      <c r="X462" s="9"/>
      <c r="Y462" s="11"/>
      <c r="Z462" s="11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ht="12.75" customHeight="1">
      <c r="A463" s="9"/>
      <c r="B463" s="9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9"/>
      <c r="S463" s="11"/>
      <c r="T463" s="9"/>
      <c r="U463" s="11"/>
      <c r="V463" s="9"/>
      <c r="W463" s="11"/>
      <c r="X463" s="9"/>
      <c r="Y463" s="11"/>
      <c r="Z463" s="11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ht="12.75" customHeight="1">
      <c r="A464" s="9"/>
      <c r="B464" s="9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9"/>
      <c r="S464" s="11"/>
      <c r="T464" s="9"/>
      <c r="U464" s="11"/>
      <c r="V464" s="9"/>
      <c r="W464" s="11"/>
      <c r="X464" s="9"/>
      <c r="Y464" s="11"/>
      <c r="Z464" s="11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ht="12.75" customHeight="1">
      <c r="A465" s="9"/>
      <c r="B465" s="9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9"/>
      <c r="S465" s="11"/>
      <c r="T465" s="9"/>
      <c r="U465" s="11"/>
      <c r="V465" s="9"/>
      <c r="W465" s="11"/>
      <c r="X465" s="9"/>
      <c r="Y465" s="11"/>
      <c r="Z465" s="11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ht="12.75" customHeight="1">
      <c r="A466" s="9"/>
      <c r="B466" s="9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9"/>
      <c r="S466" s="11"/>
      <c r="T466" s="9"/>
      <c r="U466" s="11"/>
      <c r="V466" s="9"/>
      <c r="W466" s="11"/>
      <c r="X466" s="9"/>
      <c r="Y466" s="11"/>
      <c r="Z466" s="11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ht="12.75" customHeight="1">
      <c r="A467" s="9"/>
      <c r="B467" s="9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9"/>
      <c r="S467" s="11"/>
      <c r="T467" s="9"/>
      <c r="U467" s="11"/>
      <c r="V467" s="9"/>
      <c r="W467" s="11"/>
      <c r="X467" s="9"/>
      <c r="Y467" s="11"/>
      <c r="Z467" s="11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ht="12.75" customHeight="1">
      <c r="A468" s="9"/>
      <c r="B468" s="9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9"/>
      <c r="S468" s="11"/>
      <c r="T468" s="9"/>
      <c r="U468" s="11"/>
      <c r="V468" s="9"/>
      <c r="W468" s="11"/>
      <c r="X468" s="9"/>
      <c r="Y468" s="11"/>
      <c r="Z468" s="11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ht="12.75" customHeight="1">
      <c r="A469" s="9"/>
      <c r="B469" s="9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9"/>
      <c r="S469" s="11"/>
      <c r="T469" s="9"/>
      <c r="U469" s="11"/>
      <c r="V469" s="9"/>
      <c r="W469" s="11"/>
      <c r="X469" s="9"/>
      <c r="Y469" s="11"/>
      <c r="Z469" s="11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ht="12.75" customHeight="1">
      <c r="A470" s="9"/>
      <c r="B470" s="9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9"/>
      <c r="S470" s="11"/>
      <c r="T470" s="9"/>
      <c r="U470" s="11"/>
      <c r="V470" s="9"/>
      <c r="W470" s="11"/>
      <c r="X470" s="9"/>
      <c r="Y470" s="11"/>
      <c r="Z470" s="11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ht="12.75" customHeight="1">
      <c r="A471" s="9"/>
      <c r="B471" s="9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9"/>
      <c r="S471" s="11"/>
      <c r="T471" s="9"/>
      <c r="U471" s="11"/>
      <c r="V471" s="9"/>
      <c r="W471" s="11"/>
      <c r="X471" s="9"/>
      <c r="Y471" s="11"/>
      <c r="Z471" s="11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ht="12.75" customHeight="1">
      <c r="A472" s="9"/>
      <c r="B472" s="9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9"/>
      <c r="S472" s="11"/>
      <c r="T472" s="9"/>
      <c r="U472" s="11"/>
      <c r="V472" s="9"/>
      <c r="W472" s="11"/>
      <c r="X472" s="9"/>
      <c r="Y472" s="11"/>
      <c r="Z472" s="11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ht="12.75" customHeight="1">
      <c r="A473" s="9"/>
      <c r="B473" s="9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9"/>
      <c r="S473" s="11"/>
      <c r="T473" s="9"/>
      <c r="U473" s="11"/>
      <c r="V473" s="9"/>
      <c r="W473" s="11"/>
      <c r="X473" s="9"/>
      <c r="Y473" s="11"/>
      <c r="Z473" s="11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ht="12.75" customHeight="1">
      <c r="A474" s="9"/>
      <c r="B474" s="9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9"/>
      <c r="S474" s="11"/>
      <c r="T474" s="9"/>
      <c r="U474" s="11"/>
      <c r="V474" s="9"/>
      <c r="W474" s="11"/>
      <c r="X474" s="9"/>
      <c r="Y474" s="11"/>
      <c r="Z474" s="11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ht="12.75" customHeight="1">
      <c r="A475" s="9"/>
      <c r="B475" s="9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9"/>
      <c r="S475" s="11"/>
      <c r="T475" s="9"/>
      <c r="U475" s="11"/>
      <c r="V475" s="9"/>
      <c r="W475" s="11"/>
      <c r="X475" s="9"/>
      <c r="Y475" s="11"/>
      <c r="Z475" s="11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ht="12.75" customHeight="1">
      <c r="A476" s="9"/>
      <c r="B476" s="9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9"/>
      <c r="S476" s="11"/>
      <c r="T476" s="9"/>
      <c r="U476" s="11"/>
      <c r="V476" s="9"/>
      <c r="W476" s="11"/>
      <c r="X476" s="9"/>
      <c r="Y476" s="11"/>
      <c r="Z476" s="11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ht="12.75" customHeight="1">
      <c r="A477" s="9"/>
      <c r="B477" s="9"/>
      <c r="C477" s="10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9"/>
      <c r="S477" s="11"/>
      <c r="T477" s="9"/>
      <c r="U477" s="11"/>
      <c r="V477" s="9"/>
      <c r="W477" s="11"/>
      <c r="X477" s="9"/>
      <c r="Y477" s="11"/>
      <c r="Z477" s="11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ht="12.75" customHeight="1">
      <c r="A478" s="9"/>
      <c r="B478" s="9"/>
      <c r="C478" s="10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9"/>
      <c r="S478" s="11"/>
      <c r="T478" s="9"/>
      <c r="U478" s="11"/>
      <c r="V478" s="9"/>
      <c r="W478" s="11"/>
      <c r="X478" s="9"/>
      <c r="Y478" s="11"/>
      <c r="Z478" s="11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ht="12.75" customHeight="1">
      <c r="A479" s="9"/>
      <c r="B479" s="9"/>
      <c r="C479" s="10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9"/>
      <c r="S479" s="11"/>
      <c r="T479" s="9"/>
      <c r="U479" s="11"/>
      <c r="V479" s="9"/>
      <c r="W479" s="11"/>
      <c r="X479" s="9"/>
      <c r="Y479" s="11"/>
      <c r="Z479" s="11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ht="12.75" customHeight="1">
      <c r="A480" s="9"/>
      <c r="B480" s="9"/>
      <c r="C480" s="10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9"/>
      <c r="S480" s="11"/>
      <c r="T480" s="9"/>
      <c r="U480" s="11"/>
      <c r="V480" s="9"/>
      <c r="W480" s="11"/>
      <c r="X480" s="9"/>
      <c r="Y480" s="11"/>
      <c r="Z480" s="11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ht="12.75" customHeight="1">
      <c r="A481" s="9"/>
      <c r="B481" s="9"/>
      <c r="C481" s="10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9"/>
      <c r="S481" s="11"/>
      <c r="T481" s="9"/>
      <c r="U481" s="11"/>
      <c r="V481" s="9"/>
      <c r="W481" s="11"/>
      <c r="X481" s="9"/>
      <c r="Y481" s="11"/>
      <c r="Z481" s="11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ht="12.75" customHeight="1">
      <c r="A482" s="9"/>
      <c r="B482" s="9"/>
      <c r="C482" s="10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9"/>
      <c r="S482" s="11"/>
      <c r="T482" s="9"/>
      <c r="U482" s="11"/>
      <c r="V482" s="9"/>
      <c r="W482" s="11"/>
      <c r="X482" s="9"/>
      <c r="Y482" s="11"/>
      <c r="Z482" s="11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ht="12.75" customHeight="1">
      <c r="A483" s="9"/>
      <c r="B483" s="9"/>
      <c r="C483" s="10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9"/>
      <c r="S483" s="11"/>
      <c r="T483" s="9"/>
      <c r="U483" s="11"/>
      <c r="V483" s="9"/>
      <c r="W483" s="11"/>
      <c r="X483" s="9"/>
      <c r="Y483" s="11"/>
      <c r="Z483" s="11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ht="12.75" customHeight="1">
      <c r="A484" s="9"/>
      <c r="B484" s="9"/>
      <c r="C484" s="10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9"/>
      <c r="S484" s="11"/>
      <c r="T484" s="9"/>
      <c r="U484" s="11"/>
      <c r="V484" s="9"/>
      <c r="W484" s="11"/>
      <c r="X484" s="9"/>
      <c r="Y484" s="11"/>
      <c r="Z484" s="11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ht="12.75" customHeight="1">
      <c r="A485" s="9"/>
      <c r="B485" s="9"/>
      <c r="C485" s="10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9"/>
      <c r="S485" s="11"/>
      <c r="T485" s="9"/>
      <c r="U485" s="11"/>
      <c r="V485" s="9"/>
      <c r="W485" s="11"/>
      <c r="X485" s="9"/>
      <c r="Y485" s="11"/>
      <c r="Z485" s="11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ht="12.75" customHeight="1">
      <c r="A486" s="9"/>
      <c r="B486" s="9"/>
      <c r="C486" s="10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9"/>
      <c r="S486" s="11"/>
      <c r="T486" s="9"/>
      <c r="U486" s="11"/>
      <c r="V486" s="9"/>
      <c r="W486" s="11"/>
      <c r="X486" s="9"/>
      <c r="Y486" s="11"/>
      <c r="Z486" s="11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ht="12.75" customHeight="1">
      <c r="A487" s="9"/>
      <c r="B487" s="9"/>
      <c r="C487" s="10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9"/>
      <c r="S487" s="11"/>
      <c r="T487" s="9"/>
      <c r="U487" s="11"/>
      <c r="V487" s="9"/>
      <c r="W487" s="11"/>
      <c r="X487" s="9"/>
      <c r="Y487" s="11"/>
      <c r="Z487" s="11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ht="12.75" customHeight="1">
      <c r="A488" s="9"/>
      <c r="B488" s="9"/>
      <c r="C488" s="10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9"/>
      <c r="S488" s="11"/>
      <c r="T488" s="9"/>
      <c r="U488" s="11"/>
      <c r="V488" s="9"/>
      <c r="W488" s="11"/>
      <c r="X488" s="9"/>
      <c r="Y488" s="11"/>
      <c r="Z488" s="11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ht="12.75" customHeight="1">
      <c r="A489" s="9"/>
      <c r="B489" s="9"/>
      <c r="C489" s="10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9"/>
      <c r="S489" s="11"/>
      <c r="T489" s="9"/>
      <c r="U489" s="11"/>
      <c r="V489" s="9"/>
      <c r="W489" s="11"/>
      <c r="X489" s="9"/>
      <c r="Y489" s="11"/>
      <c r="Z489" s="11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ht="12.75" customHeight="1">
      <c r="A490" s="9"/>
      <c r="B490" s="9"/>
      <c r="C490" s="10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9"/>
      <c r="S490" s="11"/>
      <c r="T490" s="9"/>
      <c r="U490" s="11"/>
      <c r="V490" s="9"/>
      <c r="W490" s="11"/>
      <c r="X490" s="9"/>
      <c r="Y490" s="11"/>
      <c r="Z490" s="11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ht="12.75" customHeight="1">
      <c r="A491" s="9"/>
      <c r="B491" s="9"/>
      <c r="C491" s="10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9"/>
      <c r="S491" s="11"/>
      <c r="T491" s="9"/>
      <c r="U491" s="11"/>
      <c r="V491" s="9"/>
      <c r="W491" s="11"/>
      <c r="X491" s="9"/>
      <c r="Y491" s="11"/>
      <c r="Z491" s="11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ht="12.75" customHeight="1">
      <c r="A492" s="9"/>
      <c r="B492" s="9"/>
      <c r="C492" s="10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9"/>
      <c r="S492" s="11"/>
      <c r="T492" s="9"/>
      <c r="U492" s="11"/>
      <c r="V492" s="9"/>
      <c r="W492" s="11"/>
      <c r="X492" s="9"/>
      <c r="Y492" s="11"/>
      <c r="Z492" s="11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ht="12.75" customHeight="1">
      <c r="A493" s="9"/>
      <c r="B493" s="9"/>
      <c r="C493" s="10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9"/>
      <c r="S493" s="11"/>
      <c r="T493" s="9"/>
      <c r="U493" s="11"/>
      <c r="V493" s="9"/>
      <c r="W493" s="11"/>
      <c r="X493" s="9"/>
      <c r="Y493" s="11"/>
      <c r="Z493" s="11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ht="12.75" customHeight="1">
      <c r="A494" s="9"/>
      <c r="B494" s="9"/>
      <c r="C494" s="10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9"/>
      <c r="S494" s="11"/>
      <c r="T494" s="9"/>
      <c r="U494" s="11"/>
      <c r="V494" s="9"/>
      <c r="W494" s="11"/>
      <c r="X494" s="9"/>
      <c r="Y494" s="11"/>
      <c r="Z494" s="11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ht="12.75" customHeight="1">
      <c r="A495" s="9"/>
      <c r="B495" s="9"/>
      <c r="C495" s="10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9"/>
      <c r="S495" s="11"/>
      <c r="T495" s="9"/>
      <c r="U495" s="11"/>
      <c r="V495" s="9"/>
      <c r="W495" s="11"/>
      <c r="X495" s="9"/>
      <c r="Y495" s="11"/>
      <c r="Z495" s="11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ht="12.75" customHeight="1">
      <c r="A496" s="9"/>
      <c r="B496" s="9"/>
      <c r="C496" s="10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9"/>
      <c r="S496" s="11"/>
      <c r="T496" s="9"/>
      <c r="U496" s="11"/>
      <c r="V496" s="9"/>
      <c r="W496" s="11"/>
      <c r="X496" s="9"/>
      <c r="Y496" s="11"/>
      <c r="Z496" s="11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ht="12.75" customHeight="1">
      <c r="A497" s="9"/>
      <c r="B497" s="9"/>
      <c r="C497" s="10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9"/>
      <c r="S497" s="11"/>
      <c r="T497" s="9"/>
      <c r="U497" s="11"/>
      <c r="V497" s="9"/>
      <c r="W497" s="11"/>
      <c r="X497" s="9"/>
      <c r="Y497" s="11"/>
      <c r="Z497" s="11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ht="12.75" customHeight="1">
      <c r="A498" s="9"/>
      <c r="B498" s="9"/>
      <c r="C498" s="10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9"/>
      <c r="S498" s="11"/>
      <c r="T498" s="9"/>
      <c r="U498" s="11"/>
      <c r="V498" s="9"/>
      <c r="W498" s="11"/>
      <c r="X498" s="9"/>
      <c r="Y498" s="11"/>
      <c r="Z498" s="11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ht="12.75" customHeight="1">
      <c r="A499" s="9"/>
      <c r="B499" s="9"/>
      <c r="C499" s="10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9"/>
      <c r="S499" s="11"/>
      <c r="T499" s="9"/>
      <c r="U499" s="11"/>
      <c r="V499" s="9"/>
      <c r="W499" s="11"/>
      <c r="X499" s="9"/>
      <c r="Y499" s="11"/>
      <c r="Z499" s="11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ht="12.75" customHeight="1">
      <c r="A500" s="9"/>
      <c r="B500" s="9"/>
      <c r="C500" s="10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9"/>
      <c r="S500" s="11"/>
      <c r="T500" s="9"/>
      <c r="U500" s="11"/>
      <c r="V500" s="9"/>
      <c r="W500" s="11"/>
      <c r="X500" s="9"/>
      <c r="Y500" s="11"/>
      <c r="Z500" s="11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ht="12.75" customHeight="1">
      <c r="A501" s="9"/>
      <c r="B501" s="9"/>
      <c r="C501" s="10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9"/>
      <c r="S501" s="11"/>
      <c r="T501" s="9"/>
      <c r="U501" s="11"/>
      <c r="V501" s="9"/>
      <c r="W501" s="11"/>
      <c r="X501" s="9"/>
      <c r="Y501" s="11"/>
      <c r="Z501" s="11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ht="12.75" customHeight="1">
      <c r="A502" s="9"/>
      <c r="B502" s="9"/>
      <c r="C502" s="10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9"/>
      <c r="S502" s="11"/>
      <c r="T502" s="9"/>
      <c r="U502" s="11"/>
      <c r="V502" s="9"/>
      <c r="W502" s="11"/>
      <c r="X502" s="9"/>
      <c r="Y502" s="11"/>
      <c r="Z502" s="11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ht="12.75" customHeight="1">
      <c r="A503" s="9"/>
      <c r="B503" s="9"/>
      <c r="C503" s="10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9"/>
      <c r="S503" s="11"/>
      <c r="T503" s="9"/>
      <c r="U503" s="11"/>
      <c r="V503" s="9"/>
      <c r="W503" s="11"/>
      <c r="X503" s="9"/>
      <c r="Y503" s="11"/>
      <c r="Z503" s="11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ht="12.75" customHeight="1">
      <c r="A504" s="9"/>
      <c r="B504" s="9"/>
      <c r="C504" s="10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9"/>
      <c r="S504" s="11"/>
      <c r="T504" s="9"/>
      <c r="U504" s="11"/>
      <c r="V504" s="9"/>
      <c r="W504" s="11"/>
      <c r="X504" s="9"/>
      <c r="Y504" s="11"/>
      <c r="Z504" s="11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ht="12.75" customHeight="1">
      <c r="A505" s="9"/>
      <c r="B505" s="9"/>
      <c r="C505" s="10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9"/>
      <c r="S505" s="11"/>
      <c r="T505" s="9"/>
      <c r="U505" s="11"/>
      <c r="V505" s="9"/>
      <c r="W505" s="11"/>
      <c r="X505" s="9"/>
      <c r="Y505" s="11"/>
      <c r="Z505" s="11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ht="12.75" customHeight="1">
      <c r="A506" s="9"/>
      <c r="B506" s="9"/>
      <c r="C506" s="10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9"/>
      <c r="S506" s="11"/>
      <c r="T506" s="9"/>
      <c r="U506" s="11"/>
      <c r="V506" s="9"/>
      <c r="W506" s="11"/>
      <c r="X506" s="9"/>
      <c r="Y506" s="11"/>
      <c r="Z506" s="11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ht="12.75" customHeight="1">
      <c r="A507" s="9"/>
      <c r="B507" s="9"/>
      <c r="C507" s="10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9"/>
      <c r="S507" s="11"/>
      <c r="T507" s="9"/>
      <c r="U507" s="11"/>
      <c r="V507" s="9"/>
      <c r="W507" s="11"/>
      <c r="X507" s="9"/>
      <c r="Y507" s="11"/>
      <c r="Z507" s="11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ht="12.75" customHeight="1">
      <c r="A508" s="9"/>
      <c r="B508" s="9"/>
      <c r="C508" s="10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9"/>
      <c r="S508" s="11"/>
      <c r="T508" s="9"/>
      <c r="U508" s="11"/>
      <c r="V508" s="9"/>
      <c r="W508" s="11"/>
      <c r="X508" s="9"/>
      <c r="Y508" s="11"/>
      <c r="Z508" s="11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ht="12.75" customHeight="1">
      <c r="A509" s="9"/>
      <c r="B509" s="9"/>
      <c r="C509" s="10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9"/>
      <c r="S509" s="11"/>
      <c r="T509" s="9"/>
      <c r="U509" s="11"/>
      <c r="V509" s="9"/>
      <c r="W509" s="11"/>
      <c r="X509" s="9"/>
      <c r="Y509" s="11"/>
      <c r="Z509" s="11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ht="12.75" customHeight="1">
      <c r="A510" s="9"/>
      <c r="B510" s="9"/>
      <c r="C510" s="10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9"/>
      <c r="S510" s="11"/>
      <c r="T510" s="9"/>
      <c r="U510" s="11"/>
      <c r="V510" s="9"/>
      <c r="W510" s="11"/>
      <c r="X510" s="9"/>
      <c r="Y510" s="11"/>
      <c r="Z510" s="11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ht="12.75" customHeight="1">
      <c r="A511" s="9"/>
      <c r="B511" s="9"/>
      <c r="C511" s="10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9"/>
      <c r="S511" s="11"/>
      <c r="T511" s="9"/>
      <c r="U511" s="11"/>
      <c r="V511" s="9"/>
      <c r="W511" s="11"/>
      <c r="X511" s="9"/>
      <c r="Y511" s="11"/>
      <c r="Z511" s="11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ht="12.75" customHeight="1">
      <c r="A512" s="9"/>
      <c r="B512" s="9"/>
      <c r="C512" s="10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9"/>
      <c r="S512" s="11"/>
      <c r="T512" s="9"/>
      <c r="U512" s="11"/>
      <c r="V512" s="9"/>
      <c r="W512" s="11"/>
      <c r="X512" s="9"/>
      <c r="Y512" s="11"/>
      <c r="Z512" s="11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ht="12.75" customHeight="1">
      <c r="A513" s="9"/>
      <c r="B513" s="9"/>
      <c r="C513" s="10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9"/>
      <c r="S513" s="11"/>
      <c r="T513" s="9"/>
      <c r="U513" s="11"/>
      <c r="V513" s="9"/>
      <c r="W513" s="11"/>
      <c r="X513" s="9"/>
      <c r="Y513" s="11"/>
      <c r="Z513" s="11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ht="12.75" customHeight="1">
      <c r="A514" s="9"/>
      <c r="B514" s="9"/>
      <c r="C514" s="10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9"/>
      <c r="S514" s="11"/>
      <c r="T514" s="9"/>
      <c r="U514" s="11"/>
      <c r="V514" s="9"/>
      <c r="W514" s="11"/>
      <c r="X514" s="9"/>
      <c r="Y514" s="11"/>
      <c r="Z514" s="11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ht="12.75" customHeight="1">
      <c r="A515" s="9"/>
      <c r="B515" s="9"/>
      <c r="C515" s="10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9"/>
      <c r="S515" s="11"/>
      <c r="T515" s="9"/>
      <c r="U515" s="11"/>
      <c r="V515" s="9"/>
      <c r="W515" s="11"/>
      <c r="X515" s="9"/>
      <c r="Y515" s="11"/>
      <c r="Z515" s="11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ht="12.75" customHeight="1">
      <c r="A516" s="9"/>
      <c r="B516" s="9"/>
      <c r="C516" s="10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9"/>
      <c r="S516" s="11"/>
      <c r="T516" s="9"/>
      <c r="U516" s="11"/>
      <c r="V516" s="9"/>
      <c r="W516" s="11"/>
      <c r="X516" s="9"/>
      <c r="Y516" s="11"/>
      <c r="Z516" s="11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ht="12.75" customHeight="1">
      <c r="A517" s="9"/>
      <c r="B517" s="9"/>
      <c r="C517" s="10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9"/>
      <c r="S517" s="11"/>
      <c r="T517" s="9"/>
      <c r="U517" s="11"/>
      <c r="V517" s="9"/>
      <c r="W517" s="11"/>
      <c r="X517" s="9"/>
      <c r="Y517" s="11"/>
      <c r="Z517" s="11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ht="12.75" customHeight="1">
      <c r="A518" s="9"/>
      <c r="B518" s="9"/>
      <c r="C518" s="10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9"/>
      <c r="S518" s="11"/>
      <c r="T518" s="9"/>
      <c r="U518" s="11"/>
      <c r="V518" s="9"/>
      <c r="W518" s="11"/>
      <c r="X518" s="9"/>
      <c r="Y518" s="11"/>
      <c r="Z518" s="11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ht="12.75" customHeight="1">
      <c r="A519" s="9"/>
      <c r="B519" s="9"/>
      <c r="C519" s="10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9"/>
      <c r="S519" s="11"/>
      <c r="T519" s="9"/>
      <c r="U519" s="11"/>
      <c r="V519" s="9"/>
      <c r="W519" s="11"/>
      <c r="X519" s="9"/>
      <c r="Y519" s="11"/>
      <c r="Z519" s="11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ht="12.75" customHeight="1">
      <c r="A520" s="9"/>
      <c r="B520" s="9"/>
      <c r="C520" s="10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9"/>
      <c r="S520" s="11"/>
      <c r="T520" s="9"/>
      <c r="U520" s="11"/>
      <c r="V520" s="9"/>
      <c r="W520" s="11"/>
      <c r="X520" s="9"/>
      <c r="Y520" s="11"/>
      <c r="Z520" s="11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ht="12.75" customHeight="1">
      <c r="A521" s="9"/>
      <c r="B521" s="9"/>
      <c r="C521" s="10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9"/>
      <c r="S521" s="11"/>
      <c r="T521" s="9"/>
      <c r="U521" s="11"/>
      <c r="V521" s="9"/>
      <c r="W521" s="11"/>
      <c r="X521" s="9"/>
      <c r="Y521" s="11"/>
      <c r="Z521" s="11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ht="12.75" customHeight="1">
      <c r="A522" s="9"/>
      <c r="B522" s="9"/>
      <c r="C522" s="10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9"/>
      <c r="S522" s="11"/>
      <c r="T522" s="9"/>
      <c r="U522" s="11"/>
      <c r="V522" s="9"/>
      <c r="W522" s="11"/>
      <c r="X522" s="9"/>
      <c r="Y522" s="11"/>
      <c r="Z522" s="11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ht="12.75" customHeight="1">
      <c r="A523" s="9"/>
      <c r="B523" s="9"/>
      <c r="C523" s="10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9"/>
      <c r="S523" s="11"/>
      <c r="T523" s="9"/>
      <c r="U523" s="11"/>
      <c r="V523" s="9"/>
      <c r="W523" s="11"/>
      <c r="X523" s="9"/>
      <c r="Y523" s="11"/>
      <c r="Z523" s="11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ht="12.75" customHeight="1">
      <c r="A524" s="9"/>
      <c r="B524" s="9"/>
      <c r="C524" s="10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9"/>
      <c r="S524" s="11"/>
      <c r="T524" s="9"/>
      <c r="U524" s="11"/>
      <c r="V524" s="9"/>
      <c r="W524" s="11"/>
      <c r="X524" s="9"/>
      <c r="Y524" s="11"/>
      <c r="Z524" s="11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ht="12.75" customHeight="1">
      <c r="A525" s="9"/>
      <c r="B525" s="9"/>
      <c r="C525" s="10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9"/>
      <c r="S525" s="11"/>
      <c r="T525" s="9"/>
      <c r="U525" s="11"/>
      <c r="V525" s="9"/>
      <c r="W525" s="11"/>
      <c r="X525" s="9"/>
      <c r="Y525" s="11"/>
      <c r="Z525" s="11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ht="12.75" customHeight="1">
      <c r="A526" s="9"/>
      <c r="B526" s="9"/>
      <c r="C526" s="10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9"/>
      <c r="S526" s="11"/>
      <c r="T526" s="9"/>
      <c r="U526" s="11"/>
      <c r="V526" s="9"/>
      <c r="W526" s="11"/>
      <c r="X526" s="9"/>
      <c r="Y526" s="11"/>
      <c r="Z526" s="11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ht="12.75" customHeight="1">
      <c r="A527" s="9"/>
      <c r="B527" s="9"/>
      <c r="C527" s="10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9"/>
      <c r="S527" s="11"/>
      <c r="T527" s="9"/>
      <c r="U527" s="11"/>
      <c r="V527" s="9"/>
      <c r="W527" s="11"/>
      <c r="X527" s="9"/>
      <c r="Y527" s="11"/>
      <c r="Z527" s="11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ht="12.75" customHeight="1">
      <c r="A528" s="9"/>
      <c r="B528" s="9"/>
      <c r="C528" s="10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9"/>
      <c r="S528" s="11"/>
      <c r="T528" s="9"/>
      <c r="U528" s="11"/>
      <c r="V528" s="9"/>
      <c r="W528" s="11"/>
      <c r="X528" s="9"/>
      <c r="Y528" s="11"/>
      <c r="Z528" s="11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ht="12.75" customHeight="1">
      <c r="A529" s="9"/>
      <c r="B529" s="9"/>
      <c r="C529" s="10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9"/>
      <c r="S529" s="11"/>
      <c r="T529" s="9"/>
      <c r="U529" s="11"/>
      <c r="V529" s="9"/>
      <c r="W529" s="11"/>
      <c r="X529" s="9"/>
      <c r="Y529" s="11"/>
      <c r="Z529" s="11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ht="12.75" customHeight="1">
      <c r="A530" s="9"/>
      <c r="B530" s="9"/>
      <c r="C530" s="10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9"/>
      <c r="S530" s="11"/>
      <c r="T530" s="9"/>
      <c r="U530" s="11"/>
      <c r="V530" s="9"/>
      <c r="W530" s="11"/>
      <c r="X530" s="9"/>
      <c r="Y530" s="11"/>
      <c r="Z530" s="11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ht="12.75" customHeight="1">
      <c r="A531" s="9"/>
      <c r="B531" s="9"/>
      <c r="C531" s="10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9"/>
      <c r="S531" s="11"/>
      <c r="T531" s="9"/>
      <c r="U531" s="11"/>
      <c r="V531" s="9"/>
      <c r="W531" s="11"/>
      <c r="X531" s="9"/>
      <c r="Y531" s="11"/>
      <c r="Z531" s="11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ht="12.75" customHeight="1">
      <c r="A532" s="9"/>
      <c r="B532" s="9"/>
      <c r="C532" s="10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9"/>
      <c r="S532" s="11"/>
      <c r="T532" s="9"/>
      <c r="U532" s="11"/>
      <c r="V532" s="9"/>
      <c r="W532" s="11"/>
      <c r="X532" s="9"/>
      <c r="Y532" s="11"/>
      <c r="Z532" s="11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ht="12.75" customHeight="1">
      <c r="A533" s="9"/>
      <c r="B533" s="9"/>
      <c r="C533" s="10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9"/>
      <c r="S533" s="11"/>
      <c r="T533" s="9"/>
      <c r="U533" s="11"/>
      <c r="V533" s="9"/>
      <c r="W533" s="11"/>
      <c r="X533" s="9"/>
      <c r="Y533" s="11"/>
      <c r="Z533" s="11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ht="12.75" customHeight="1">
      <c r="A534" s="9"/>
      <c r="B534" s="9"/>
      <c r="C534" s="10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9"/>
      <c r="S534" s="11"/>
      <c r="T534" s="9"/>
      <c r="U534" s="11"/>
      <c r="V534" s="9"/>
      <c r="W534" s="11"/>
      <c r="X534" s="9"/>
      <c r="Y534" s="11"/>
      <c r="Z534" s="11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ht="12.75" customHeight="1">
      <c r="A535" s="9"/>
      <c r="B535" s="9"/>
      <c r="C535" s="10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9"/>
      <c r="S535" s="11"/>
      <c r="T535" s="9"/>
      <c r="U535" s="11"/>
      <c r="V535" s="9"/>
      <c r="W535" s="11"/>
      <c r="X535" s="9"/>
      <c r="Y535" s="11"/>
      <c r="Z535" s="11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ht="12.75" customHeight="1">
      <c r="A536" s="9"/>
      <c r="B536" s="9"/>
      <c r="C536" s="10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9"/>
      <c r="S536" s="11"/>
      <c r="T536" s="9"/>
      <c r="U536" s="11"/>
      <c r="V536" s="9"/>
      <c r="W536" s="11"/>
      <c r="X536" s="9"/>
      <c r="Y536" s="11"/>
      <c r="Z536" s="11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ht="12.75" customHeight="1">
      <c r="A537" s="9"/>
      <c r="B537" s="9"/>
      <c r="C537" s="10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9"/>
      <c r="S537" s="11"/>
      <c r="T537" s="9"/>
      <c r="U537" s="11"/>
      <c r="V537" s="9"/>
      <c r="W537" s="11"/>
      <c r="X537" s="9"/>
      <c r="Y537" s="11"/>
      <c r="Z537" s="11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ht="12.75" customHeight="1">
      <c r="A538" s="9"/>
      <c r="B538" s="9"/>
      <c r="C538" s="10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9"/>
      <c r="S538" s="11"/>
      <c r="T538" s="9"/>
      <c r="U538" s="11"/>
      <c r="V538" s="9"/>
      <c r="W538" s="11"/>
      <c r="X538" s="9"/>
      <c r="Y538" s="11"/>
      <c r="Z538" s="11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ht="12.75" customHeight="1">
      <c r="A539" s="9"/>
      <c r="B539" s="9"/>
      <c r="C539" s="10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9"/>
      <c r="S539" s="11"/>
      <c r="T539" s="9"/>
      <c r="U539" s="11"/>
      <c r="V539" s="9"/>
      <c r="W539" s="11"/>
      <c r="X539" s="9"/>
      <c r="Y539" s="11"/>
      <c r="Z539" s="11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ht="12.75" customHeight="1">
      <c r="A540" s="9"/>
      <c r="B540" s="9"/>
      <c r="C540" s="10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9"/>
      <c r="S540" s="11"/>
      <c r="T540" s="9"/>
      <c r="U540" s="11"/>
      <c r="V540" s="9"/>
      <c r="W540" s="11"/>
      <c r="X540" s="9"/>
      <c r="Y540" s="11"/>
      <c r="Z540" s="11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ht="12.75" customHeight="1">
      <c r="A541" s="9"/>
      <c r="B541" s="9"/>
      <c r="C541" s="10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9"/>
      <c r="S541" s="11"/>
      <c r="T541" s="9"/>
      <c r="U541" s="11"/>
      <c r="V541" s="9"/>
      <c r="W541" s="11"/>
      <c r="X541" s="9"/>
      <c r="Y541" s="11"/>
      <c r="Z541" s="11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ht="12.75" customHeight="1">
      <c r="A542" s="9"/>
      <c r="B542" s="9"/>
      <c r="C542" s="10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9"/>
      <c r="S542" s="11"/>
      <c r="T542" s="9"/>
      <c r="U542" s="11"/>
      <c r="V542" s="9"/>
      <c r="W542" s="11"/>
      <c r="X542" s="9"/>
      <c r="Y542" s="11"/>
      <c r="Z542" s="11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ht="12.75" customHeight="1">
      <c r="A543" s="9"/>
      <c r="B543" s="9"/>
      <c r="C543" s="10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9"/>
      <c r="S543" s="11"/>
      <c r="T543" s="9"/>
      <c r="U543" s="11"/>
      <c r="V543" s="9"/>
      <c r="W543" s="11"/>
      <c r="X543" s="9"/>
      <c r="Y543" s="11"/>
      <c r="Z543" s="11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ht="12.75" customHeight="1">
      <c r="A544" s="9"/>
      <c r="B544" s="9"/>
      <c r="C544" s="10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9"/>
      <c r="S544" s="11"/>
      <c r="T544" s="9"/>
      <c r="U544" s="11"/>
      <c r="V544" s="9"/>
      <c r="W544" s="11"/>
      <c r="X544" s="9"/>
      <c r="Y544" s="11"/>
      <c r="Z544" s="11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ht="12.75" customHeight="1">
      <c r="A545" s="9"/>
      <c r="B545" s="9"/>
      <c r="C545" s="10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9"/>
      <c r="S545" s="11"/>
      <c r="T545" s="9"/>
      <c r="U545" s="11"/>
      <c r="V545" s="9"/>
      <c r="W545" s="11"/>
      <c r="X545" s="9"/>
      <c r="Y545" s="11"/>
      <c r="Z545" s="11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ht="12.75" customHeight="1">
      <c r="A546" s="9"/>
      <c r="B546" s="9"/>
      <c r="C546" s="10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9"/>
      <c r="S546" s="11"/>
      <c r="T546" s="9"/>
      <c r="U546" s="11"/>
      <c r="V546" s="9"/>
      <c r="W546" s="11"/>
      <c r="X546" s="9"/>
      <c r="Y546" s="11"/>
      <c r="Z546" s="11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ht="12.75" customHeight="1">
      <c r="A547" s="9"/>
      <c r="B547" s="9"/>
      <c r="C547" s="10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9"/>
      <c r="S547" s="11"/>
      <c r="T547" s="9"/>
      <c r="U547" s="11"/>
      <c r="V547" s="9"/>
      <c r="W547" s="11"/>
      <c r="X547" s="9"/>
      <c r="Y547" s="11"/>
      <c r="Z547" s="11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ht="12.75" customHeight="1">
      <c r="A548" s="9"/>
      <c r="B548" s="9"/>
      <c r="C548" s="10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9"/>
      <c r="S548" s="11"/>
      <c r="T548" s="9"/>
      <c r="U548" s="11"/>
      <c r="V548" s="9"/>
      <c r="W548" s="11"/>
      <c r="X548" s="9"/>
      <c r="Y548" s="11"/>
      <c r="Z548" s="11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ht="12.75" customHeight="1">
      <c r="A549" s="9"/>
      <c r="B549" s="9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9"/>
      <c r="S549" s="11"/>
      <c r="T549" s="9"/>
      <c r="U549" s="11"/>
      <c r="V549" s="9"/>
      <c r="W549" s="11"/>
      <c r="X549" s="9"/>
      <c r="Y549" s="11"/>
      <c r="Z549" s="11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ht="12.75" customHeight="1">
      <c r="A550" s="9"/>
      <c r="B550" s="9"/>
      <c r="C550" s="10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9"/>
      <c r="S550" s="11"/>
      <c r="T550" s="9"/>
      <c r="U550" s="11"/>
      <c r="V550" s="9"/>
      <c r="W550" s="11"/>
      <c r="X550" s="9"/>
      <c r="Y550" s="11"/>
      <c r="Z550" s="11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ht="12.75" customHeight="1">
      <c r="A551" s="9"/>
      <c r="B551" s="9"/>
      <c r="C551" s="10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9"/>
      <c r="S551" s="11"/>
      <c r="T551" s="9"/>
      <c r="U551" s="11"/>
      <c r="V551" s="9"/>
      <c r="W551" s="11"/>
      <c r="X551" s="9"/>
      <c r="Y551" s="11"/>
      <c r="Z551" s="11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ht="12.75" customHeight="1">
      <c r="A552" s="9"/>
      <c r="B552" s="9"/>
      <c r="C552" s="10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9"/>
      <c r="S552" s="11"/>
      <c r="T552" s="9"/>
      <c r="U552" s="11"/>
      <c r="V552" s="9"/>
      <c r="W552" s="11"/>
      <c r="X552" s="9"/>
      <c r="Y552" s="11"/>
      <c r="Z552" s="11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ht="12.75" customHeight="1">
      <c r="A553" s="9"/>
      <c r="B553" s="9"/>
      <c r="C553" s="10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9"/>
      <c r="S553" s="11"/>
      <c r="T553" s="9"/>
      <c r="U553" s="11"/>
      <c r="V553" s="9"/>
      <c r="W553" s="11"/>
      <c r="X553" s="9"/>
      <c r="Y553" s="11"/>
      <c r="Z553" s="11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ht="12.75" customHeight="1">
      <c r="A554" s="9"/>
      <c r="B554" s="9"/>
      <c r="C554" s="10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9"/>
      <c r="S554" s="11"/>
      <c r="T554" s="9"/>
      <c r="U554" s="11"/>
      <c r="V554" s="9"/>
      <c r="W554" s="11"/>
      <c r="X554" s="9"/>
      <c r="Y554" s="11"/>
      <c r="Z554" s="11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ht="12.75" customHeight="1">
      <c r="A555" s="9"/>
      <c r="B555" s="9"/>
      <c r="C555" s="10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9"/>
      <c r="S555" s="11"/>
      <c r="T555" s="9"/>
      <c r="U555" s="11"/>
      <c r="V555" s="9"/>
      <c r="W555" s="11"/>
      <c r="X555" s="9"/>
      <c r="Y555" s="11"/>
      <c r="Z555" s="11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ht="12.75" customHeight="1">
      <c r="A556" s="9"/>
      <c r="B556" s="9"/>
      <c r="C556" s="10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9"/>
      <c r="S556" s="11"/>
      <c r="T556" s="9"/>
      <c r="U556" s="11"/>
      <c r="V556" s="9"/>
      <c r="W556" s="11"/>
      <c r="X556" s="9"/>
      <c r="Y556" s="11"/>
      <c r="Z556" s="11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ht="12.75" customHeight="1">
      <c r="A557" s="9"/>
      <c r="B557" s="9"/>
      <c r="C557" s="10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9"/>
      <c r="S557" s="11"/>
      <c r="T557" s="9"/>
      <c r="U557" s="11"/>
      <c r="V557" s="9"/>
      <c r="W557" s="11"/>
      <c r="X557" s="9"/>
      <c r="Y557" s="11"/>
      <c r="Z557" s="11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ht="12.75" customHeight="1">
      <c r="A558" s="9"/>
      <c r="B558" s="9"/>
      <c r="C558" s="10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9"/>
      <c r="S558" s="11"/>
      <c r="T558" s="9"/>
      <c r="U558" s="11"/>
      <c r="V558" s="9"/>
      <c r="W558" s="11"/>
      <c r="X558" s="9"/>
      <c r="Y558" s="11"/>
      <c r="Z558" s="11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ht="12.75" customHeight="1">
      <c r="A559" s="9"/>
      <c r="B559" s="9"/>
      <c r="C559" s="10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9"/>
      <c r="S559" s="11"/>
      <c r="T559" s="9"/>
      <c r="U559" s="11"/>
      <c r="V559" s="9"/>
      <c r="W559" s="11"/>
      <c r="X559" s="9"/>
      <c r="Y559" s="11"/>
      <c r="Z559" s="11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ht="12.75" customHeight="1">
      <c r="A560" s="9"/>
      <c r="B560" s="9"/>
      <c r="C560" s="10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9"/>
      <c r="S560" s="11"/>
      <c r="T560" s="9"/>
      <c r="U560" s="11"/>
      <c r="V560" s="9"/>
      <c r="W560" s="11"/>
      <c r="X560" s="9"/>
      <c r="Y560" s="11"/>
      <c r="Z560" s="11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ht="12.75" customHeight="1">
      <c r="A561" s="9"/>
      <c r="B561" s="9"/>
      <c r="C561" s="10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9"/>
      <c r="S561" s="11"/>
      <c r="T561" s="9"/>
      <c r="U561" s="11"/>
      <c r="V561" s="9"/>
      <c r="W561" s="11"/>
      <c r="X561" s="9"/>
      <c r="Y561" s="11"/>
      <c r="Z561" s="11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ht="12.75" customHeight="1">
      <c r="A562" s="9"/>
      <c r="B562" s="9"/>
      <c r="C562" s="10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9"/>
      <c r="S562" s="11"/>
      <c r="T562" s="9"/>
      <c r="U562" s="11"/>
      <c r="V562" s="9"/>
      <c r="W562" s="11"/>
      <c r="X562" s="9"/>
      <c r="Y562" s="11"/>
      <c r="Z562" s="11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ht="12.75" customHeight="1">
      <c r="A563" s="9"/>
      <c r="B563" s="9"/>
      <c r="C563" s="10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9"/>
      <c r="S563" s="11"/>
      <c r="T563" s="9"/>
      <c r="U563" s="11"/>
      <c r="V563" s="9"/>
      <c r="W563" s="11"/>
      <c r="X563" s="9"/>
      <c r="Y563" s="11"/>
      <c r="Z563" s="11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ht="12.75" customHeight="1">
      <c r="A564" s="9"/>
      <c r="B564" s="9"/>
      <c r="C564" s="10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9"/>
      <c r="S564" s="11"/>
      <c r="T564" s="9"/>
      <c r="U564" s="11"/>
      <c r="V564" s="9"/>
      <c r="W564" s="11"/>
      <c r="X564" s="9"/>
      <c r="Y564" s="11"/>
      <c r="Z564" s="11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ht="12.75" customHeight="1">
      <c r="A565" s="9"/>
      <c r="B565" s="9"/>
      <c r="C565" s="10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9"/>
      <c r="S565" s="11"/>
      <c r="T565" s="9"/>
      <c r="U565" s="11"/>
      <c r="V565" s="9"/>
      <c r="W565" s="11"/>
      <c r="X565" s="9"/>
      <c r="Y565" s="11"/>
      <c r="Z565" s="11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ht="12.75" customHeight="1">
      <c r="A566" s="9"/>
      <c r="B566" s="9"/>
      <c r="C566" s="10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9"/>
      <c r="S566" s="11"/>
      <c r="T566" s="9"/>
      <c r="U566" s="11"/>
      <c r="V566" s="9"/>
      <c r="W566" s="11"/>
      <c r="X566" s="9"/>
      <c r="Y566" s="11"/>
      <c r="Z566" s="11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ht="12.75" customHeight="1">
      <c r="A567" s="9"/>
      <c r="B567" s="9"/>
      <c r="C567" s="10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9"/>
      <c r="S567" s="11"/>
      <c r="T567" s="9"/>
      <c r="U567" s="11"/>
      <c r="V567" s="9"/>
      <c r="W567" s="11"/>
      <c r="X567" s="9"/>
      <c r="Y567" s="11"/>
      <c r="Z567" s="11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ht="12.75" customHeight="1">
      <c r="A568" s="9"/>
      <c r="B568" s="9"/>
      <c r="C568" s="10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9"/>
      <c r="S568" s="11"/>
      <c r="T568" s="9"/>
      <c r="U568" s="11"/>
      <c r="V568" s="9"/>
      <c r="W568" s="11"/>
      <c r="X568" s="9"/>
      <c r="Y568" s="11"/>
      <c r="Z568" s="11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ht="12.75" customHeight="1">
      <c r="A569" s="9"/>
      <c r="B569" s="9"/>
      <c r="C569" s="10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9"/>
      <c r="S569" s="11"/>
      <c r="T569" s="9"/>
      <c r="U569" s="11"/>
      <c r="V569" s="9"/>
      <c r="W569" s="11"/>
      <c r="X569" s="9"/>
      <c r="Y569" s="11"/>
      <c r="Z569" s="11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ht="12.75" customHeight="1">
      <c r="A570" s="9"/>
      <c r="B570" s="9"/>
      <c r="C570" s="10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9"/>
      <c r="S570" s="11"/>
      <c r="T570" s="9"/>
      <c r="U570" s="11"/>
      <c r="V570" s="9"/>
      <c r="W570" s="11"/>
      <c r="X570" s="9"/>
      <c r="Y570" s="11"/>
      <c r="Z570" s="11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ht="12.75" customHeight="1">
      <c r="A571" s="9"/>
      <c r="B571" s="9"/>
      <c r="C571" s="10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9"/>
      <c r="S571" s="11"/>
      <c r="T571" s="9"/>
      <c r="U571" s="11"/>
      <c r="V571" s="9"/>
      <c r="W571" s="11"/>
      <c r="X571" s="9"/>
      <c r="Y571" s="11"/>
      <c r="Z571" s="11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ht="12.75" customHeight="1">
      <c r="A572" s="9"/>
      <c r="B572" s="9"/>
      <c r="C572" s="10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9"/>
      <c r="S572" s="11"/>
      <c r="T572" s="9"/>
      <c r="U572" s="11"/>
      <c r="V572" s="9"/>
      <c r="W572" s="11"/>
      <c r="X572" s="9"/>
      <c r="Y572" s="11"/>
      <c r="Z572" s="11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ht="12.75" customHeight="1">
      <c r="A573" s="9"/>
      <c r="B573" s="9"/>
      <c r="C573" s="10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9"/>
      <c r="S573" s="11"/>
      <c r="T573" s="9"/>
      <c r="U573" s="11"/>
      <c r="V573" s="9"/>
      <c r="W573" s="11"/>
      <c r="X573" s="9"/>
      <c r="Y573" s="11"/>
      <c r="Z573" s="11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ht="12.75" customHeight="1">
      <c r="A574" s="9"/>
      <c r="B574" s="9"/>
      <c r="C574" s="10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9"/>
      <c r="S574" s="11"/>
      <c r="T574" s="9"/>
      <c r="U574" s="11"/>
      <c r="V574" s="9"/>
      <c r="W574" s="11"/>
      <c r="X574" s="9"/>
      <c r="Y574" s="11"/>
      <c r="Z574" s="11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ht="12.75" customHeight="1">
      <c r="A575" s="9"/>
      <c r="B575" s="9"/>
      <c r="C575" s="10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9"/>
      <c r="S575" s="11"/>
      <c r="T575" s="9"/>
      <c r="U575" s="11"/>
      <c r="V575" s="9"/>
      <c r="W575" s="11"/>
      <c r="X575" s="9"/>
      <c r="Y575" s="11"/>
      <c r="Z575" s="11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ht="12.75" customHeight="1">
      <c r="A576" s="9"/>
      <c r="B576" s="9"/>
      <c r="C576" s="10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9"/>
      <c r="S576" s="11"/>
      <c r="T576" s="9"/>
      <c r="U576" s="11"/>
      <c r="V576" s="9"/>
      <c r="W576" s="11"/>
      <c r="X576" s="9"/>
      <c r="Y576" s="11"/>
      <c r="Z576" s="11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ht="12.75" customHeight="1">
      <c r="A577" s="9"/>
      <c r="B577" s="9"/>
      <c r="C577" s="10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9"/>
      <c r="S577" s="11"/>
      <c r="T577" s="9"/>
      <c r="U577" s="11"/>
      <c r="V577" s="9"/>
      <c r="W577" s="11"/>
      <c r="X577" s="9"/>
      <c r="Y577" s="11"/>
      <c r="Z577" s="11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ht="12.75" customHeight="1">
      <c r="A578" s="9"/>
      <c r="B578" s="9"/>
      <c r="C578" s="10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9"/>
      <c r="S578" s="11"/>
      <c r="T578" s="9"/>
      <c r="U578" s="11"/>
      <c r="V578" s="9"/>
      <c r="W578" s="11"/>
      <c r="X578" s="9"/>
      <c r="Y578" s="11"/>
      <c r="Z578" s="11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ht="12.75" customHeight="1">
      <c r="A579" s="9"/>
      <c r="B579" s="9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9"/>
      <c r="S579" s="11"/>
      <c r="T579" s="9"/>
      <c r="U579" s="11"/>
      <c r="V579" s="9"/>
      <c r="W579" s="11"/>
      <c r="X579" s="9"/>
      <c r="Y579" s="11"/>
      <c r="Z579" s="11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ht="12.75" customHeight="1">
      <c r="A580" s="9"/>
      <c r="B580" s="9"/>
      <c r="C580" s="10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9"/>
      <c r="S580" s="11"/>
      <c r="T580" s="9"/>
      <c r="U580" s="11"/>
      <c r="V580" s="9"/>
      <c r="W580" s="11"/>
      <c r="X580" s="9"/>
      <c r="Y580" s="11"/>
      <c r="Z580" s="11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ht="12.75" customHeight="1">
      <c r="A581" s="9"/>
      <c r="B581" s="9"/>
      <c r="C581" s="10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9"/>
      <c r="S581" s="11"/>
      <c r="T581" s="9"/>
      <c r="U581" s="11"/>
      <c r="V581" s="9"/>
      <c r="W581" s="11"/>
      <c r="X581" s="9"/>
      <c r="Y581" s="11"/>
      <c r="Z581" s="11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ht="12.75" customHeight="1">
      <c r="A582" s="9"/>
      <c r="B582" s="9"/>
      <c r="C582" s="10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9"/>
      <c r="S582" s="11"/>
      <c r="T582" s="9"/>
      <c r="U582" s="11"/>
      <c r="V582" s="9"/>
      <c r="W582" s="11"/>
      <c r="X582" s="9"/>
      <c r="Y582" s="11"/>
      <c r="Z582" s="11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ht="12.75" customHeight="1">
      <c r="A583" s="9"/>
      <c r="B583" s="9"/>
      <c r="C583" s="10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9"/>
      <c r="S583" s="11"/>
      <c r="T583" s="9"/>
      <c r="U583" s="11"/>
      <c r="V583" s="9"/>
      <c r="W583" s="11"/>
      <c r="X583" s="9"/>
      <c r="Y583" s="11"/>
      <c r="Z583" s="11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ht="12.75" customHeight="1">
      <c r="A584" s="9"/>
      <c r="B584" s="9"/>
      <c r="C584" s="10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9"/>
      <c r="S584" s="11"/>
      <c r="T584" s="9"/>
      <c r="U584" s="11"/>
      <c r="V584" s="9"/>
      <c r="W584" s="11"/>
      <c r="X584" s="9"/>
      <c r="Y584" s="11"/>
      <c r="Z584" s="11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ht="12.75" customHeight="1">
      <c r="A585" s="9"/>
      <c r="B585" s="9"/>
      <c r="C585" s="10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9"/>
      <c r="S585" s="11"/>
      <c r="T585" s="9"/>
      <c r="U585" s="11"/>
      <c r="V585" s="9"/>
      <c r="W585" s="11"/>
      <c r="X585" s="9"/>
      <c r="Y585" s="11"/>
      <c r="Z585" s="11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ht="12.75" customHeight="1">
      <c r="A586" s="9"/>
      <c r="B586" s="9"/>
      <c r="C586" s="10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9"/>
      <c r="S586" s="11"/>
      <c r="T586" s="9"/>
      <c r="U586" s="11"/>
      <c r="V586" s="9"/>
      <c r="W586" s="11"/>
      <c r="X586" s="9"/>
      <c r="Y586" s="11"/>
      <c r="Z586" s="11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ht="12.75" customHeight="1">
      <c r="A587" s="9"/>
      <c r="B587" s="9"/>
      <c r="C587" s="10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9"/>
      <c r="S587" s="11"/>
      <c r="T587" s="9"/>
      <c r="U587" s="11"/>
      <c r="V587" s="9"/>
      <c r="W587" s="11"/>
      <c r="X587" s="9"/>
      <c r="Y587" s="11"/>
      <c r="Z587" s="11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ht="12.75" customHeight="1">
      <c r="A588" s="9"/>
      <c r="B588" s="9"/>
      <c r="C588" s="10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9"/>
      <c r="S588" s="11"/>
      <c r="T588" s="9"/>
      <c r="U588" s="11"/>
      <c r="V588" s="9"/>
      <c r="W588" s="11"/>
      <c r="X588" s="9"/>
      <c r="Y588" s="11"/>
      <c r="Z588" s="11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ht="12.75" customHeight="1">
      <c r="A589" s="9"/>
      <c r="B589" s="9"/>
      <c r="C589" s="10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9"/>
      <c r="S589" s="11"/>
      <c r="T589" s="9"/>
      <c r="U589" s="11"/>
      <c r="V589" s="9"/>
      <c r="W589" s="11"/>
      <c r="X589" s="9"/>
      <c r="Y589" s="11"/>
      <c r="Z589" s="11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ht="12.75" customHeight="1">
      <c r="A590" s="9"/>
      <c r="B590" s="9"/>
      <c r="C590" s="10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9"/>
      <c r="S590" s="11"/>
      <c r="T590" s="9"/>
      <c r="U590" s="11"/>
      <c r="V590" s="9"/>
      <c r="W590" s="11"/>
      <c r="X590" s="9"/>
      <c r="Y590" s="11"/>
      <c r="Z590" s="11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ht="12.75" customHeight="1">
      <c r="A591" s="9"/>
      <c r="B591" s="9"/>
      <c r="C591" s="10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9"/>
      <c r="S591" s="11"/>
      <c r="T591" s="9"/>
      <c r="U591" s="11"/>
      <c r="V591" s="9"/>
      <c r="W591" s="11"/>
      <c r="X591" s="9"/>
      <c r="Y591" s="11"/>
      <c r="Z591" s="11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ht="12.75" customHeight="1">
      <c r="A592" s="9"/>
      <c r="B592" s="9"/>
      <c r="C592" s="10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9"/>
      <c r="S592" s="11"/>
      <c r="T592" s="9"/>
      <c r="U592" s="11"/>
      <c r="V592" s="9"/>
      <c r="W592" s="11"/>
      <c r="X592" s="9"/>
      <c r="Y592" s="11"/>
      <c r="Z592" s="11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ht="12.75" customHeight="1">
      <c r="A593" s="9"/>
      <c r="B593" s="9"/>
      <c r="C593" s="10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9"/>
      <c r="S593" s="11"/>
      <c r="T593" s="9"/>
      <c r="U593" s="11"/>
      <c r="V593" s="9"/>
      <c r="W593" s="11"/>
      <c r="X593" s="9"/>
      <c r="Y593" s="11"/>
      <c r="Z593" s="11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ht="12.75" customHeight="1">
      <c r="A594" s="9"/>
      <c r="B594" s="9"/>
      <c r="C594" s="10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9"/>
      <c r="S594" s="11"/>
      <c r="T594" s="9"/>
      <c r="U594" s="11"/>
      <c r="V594" s="9"/>
      <c r="W594" s="11"/>
      <c r="X594" s="9"/>
      <c r="Y594" s="11"/>
      <c r="Z594" s="11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ht="12.75" customHeight="1">
      <c r="A595" s="9"/>
      <c r="B595" s="9"/>
      <c r="C595" s="10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9"/>
      <c r="S595" s="11"/>
      <c r="T595" s="9"/>
      <c r="U595" s="11"/>
      <c r="V595" s="9"/>
      <c r="W595" s="11"/>
      <c r="X595" s="9"/>
      <c r="Y595" s="11"/>
      <c r="Z595" s="11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ht="12.75" customHeight="1">
      <c r="A596" s="9"/>
      <c r="B596" s="9"/>
      <c r="C596" s="10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9"/>
      <c r="S596" s="11"/>
      <c r="T596" s="9"/>
      <c r="U596" s="11"/>
      <c r="V596" s="9"/>
      <c r="W596" s="11"/>
      <c r="X596" s="9"/>
      <c r="Y596" s="11"/>
      <c r="Z596" s="11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ht="12.75" customHeight="1">
      <c r="A597" s="9"/>
      <c r="B597" s="9"/>
      <c r="C597" s="10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9"/>
      <c r="S597" s="11"/>
      <c r="T597" s="9"/>
      <c r="U597" s="11"/>
      <c r="V597" s="9"/>
      <c r="W597" s="11"/>
      <c r="X597" s="9"/>
      <c r="Y597" s="11"/>
      <c r="Z597" s="11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ht="12.75" customHeight="1">
      <c r="A598" s="9"/>
      <c r="B598" s="9"/>
      <c r="C598" s="10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9"/>
      <c r="S598" s="11"/>
      <c r="T598" s="9"/>
      <c r="U598" s="11"/>
      <c r="V598" s="9"/>
      <c r="W598" s="11"/>
      <c r="X598" s="9"/>
      <c r="Y598" s="11"/>
      <c r="Z598" s="11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ht="12.75" customHeight="1">
      <c r="A599" s="9"/>
      <c r="B599" s="9"/>
      <c r="C599" s="10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9"/>
      <c r="S599" s="11"/>
      <c r="T599" s="9"/>
      <c r="U599" s="11"/>
      <c r="V599" s="9"/>
      <c r="W599" s="11"/>
      <c r="X599" s="9"/>
      <c r="Y599" s="11"/>
      <c r="Z599" s="11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ht="12.75" customHeight="1">
      <c r="A600" s="9"/>
      <c r="B600" s="9"/>
      <c r="C600" s="10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9"/>
      <c r="S600" s="11"/>
      <c r="T600" s="9"/>
      <c r="U600" s="11"/>
      <c r="V600" s="9"/>
      <c r="W600" s="11"/>
      <c r="X600" s="9"/>
      <c r="Y600" s="11"/>
      <c r="Z600" s="11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ht="12.75" customHeight="1">
      <c r="A601" s="9"/>
      <c r="B601" s="9"/>
      <c r="C601" s="10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9"/>
      <c r="S601" s="11"/>
      <c r="T601" s="9"/>
      <c r="U601" s="11"/>
      <c r="V601" s="9"/>
      <c r="W601" s="11"/>
      <c r="X601" s="9"/>
      <c r="Y601" s="11"/>
      <c r="Z601" s="11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ht="12.75" customHeight="1">
      <c r="A602" s="9"/>
      <c r="B602" s="9"/>
      <c r="C602" s="10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9"/>
      <c r="S602" s="11"/>
      <c r="T602" s="9"/>
      <c r="U602" s="11"/>
      <c r="V602" s="9"/>
      <c r="W602" s="11"/>
      <c r="X602" s="9"/>
      <c r="Y602" s="11"/>
      <c r="Z602" s="11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ht="12.75" customHeight="1">
      <c r="A603" s="9"/>
      <c r="B603" s="9"/>
      <c r="C603" s="10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9"/>
      <c r="S603" s="11"/>
      <c r="T603" s="9"/>
      <c r="U603" s="11"/>
      <c r="V603" s="9"/>
      <c r="W603" s="11"/>
      <c r="X603" s="9"/>
      <c r="Y603" s="11"/>
      <c r="Z603" s="11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ht="12.75" customHeight="1">
      <c r="A604" s="9"/>
      <c r="B604" s="9"/>
      <c r="C604" s="10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9"/>
      <c r="S604" s="11"/>
      <c r="T604" s="9"/>
      <c r="U604" s="11"/>
      <c r="V604" s="9"/>
      <c r="W604" s="11"/>
      <c r="X604" s="9"/>
      <c r="Y604" s="11"/>
      <c r="Z604" s="11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ht="12.75" customHeight="1">
      <c r="A605" s="9"/>
      <c r="B605" s="9"/>
      <c r="C605" s="10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9"/>
      <c r="S605" s="11"/>
      <c r="T605" s="9"/>
      <c r="U605" s="11"/>
      <c r="V605" s="9"/>
      <c r="W605" s="11"/>
      <c r="X605" s="9"/>
      <c r="Y605" s="11"/>
      <c r="Z605" s="11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ht="12.75" customHeight="1">
      <c r="A606" s="9"/>
      <c r="B606" s="9"/>
      <c r="C606" s="10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9"/>
      <c r="S606" s="11"/>
      <c r="T606" s="9"/>
      <c r="U606" s="11"/>
      <c r="V606" s="9"/>
      <c r="W606" s="11"/>
      <c r="X606" s="9"/>
      <c r="Y606" s="11"/>
      <c r="Z606" s="11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ht="12.75" customHeight="1">
      <c r="A607" s="9"/>
      <c r="B607" s="9"/>
      <c r="C607" s="10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9"/>
      <c r="S607" s="11"/>
      <c r="T607" s="9"/>
      <c r="U607" s="11"/>
      <c r="V607" s="9"/>
      <c r="W607" s="11"/>
      <c r="X607" s="9"/>
      <c r="Y607" s="11"/>
      <c r="Z607" s="11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ht="12.75" customHeight="1">
      <c r="A608" s="9"/>
      <c r="B608" s="9"/>
      <c r="C608" s="10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9"/>
      <c r="S608" s="11"/>
      <c r="T608" s="9"/>
      <c r="U608" s="11"/>
      <c r="V608" s="9"/>
      <c r="W608" s="11"/>
      <c r="X608" s="9"/>
      <c r="Y608" s="11"/>
      <c r="Z608" s="11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ht="12.75" customHeight="1">
      <c r="A609" s="9"/>
      <c r="B609" s="9"/>
      <c r="C609" s="10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9"/>
      <c r="S609" s="11"/>
      <c r="T609" s="9"/>
      <c r="U609" s="11"/>
      <c r="V609" s="9"/>
      <c r="W609" s="11"/>
      <c r="X609" s="9"/>
      <c r="Y609" s="11"/>
      <c r="Z609" s="11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ht="12.75" customHeight="1">
      <c r="A610" s="9"/>
      <c r="B610" s="9"/>
      <c r="C610" s="10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9"/>
      <c r="S610" s="11"/>
      <c r="T610" s="9"/>
      <c r="U610" s="11"/>
      <c r="V610" s="9"/>
      <c r="W610" s="11"/>
      <c r="X610" s="9"/>
      <c r="Y610" s="11"/>
      <c r="Z610" s="11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ht="12.75" customHeight="1">
      <c r="A611" s="9"/>
      <c r="B611" s="9"/>
      <c r="C611" s="10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9"/>
      <c r="S611" s="11"/>
      <c r="T611" s="9"/>
      <c r="U611" s="11"/>
      <c r="V611" s="9"/>
      <c r="W611" s="11"/>
      <c r="X611" s="9"/>
      <c r="Y611" s="11"/>
      <c r="Z611" s="11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ht="12.75" customHeight="1">
      <c r="A612" s="9"/>
      <c r="B612" s="9"/>
      <c r="C612" s="10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9"/>
      <c r="S612" s="11"/>
      <c r="T612" s="9"/>
      <c r="U612" s="11"/>
      <c r="V612" s="9"/>
      <c r="W612" s="11"/>
      <c r="X612" s="9"/>
      <c r="Y612" s="11"/>
      <c r="Z612" s="11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ht="12.75" customHeight="1">
      <c r="A613" s="9"/>
      <c r="B613" s="9"/>
      <c r="C613" s="10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9"/>
      <c r="S613" s="11"/>
      <c r="T613" s="9"/>
      <c r="U613" s="11"/>
      <c r="V613" s="9"/>
      <c r="W613" s="11"/>
      <c r="X613" s="9"/>
      <c r="Y613" s="11"/>
      <c r="Z613" s="11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ht="12.75" customHeight="1">
      <c r="A614" s="9"/>
      <c r="B614" s="9"/>
      <c r="C614" s="10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9"/>
      <c r="S614" s="11"/>
      <c r="T614" s="9"/>
      <c r="U614" s="11"/>
      <c r="V614" s="9"/>
      <c r="W614" s="11"/>
      <c r="X614" s="9"/>
      <c r="Y614" s="11"/>
      <c r="Z614" s="11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ht="12.75" customHeight="1">
      <c r="A615" s="9"/>
      <c r="B615" s="9"/>
      <c r="C615" s="10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9"/>
      <c r="S615" s="11"/>
      <c r="T615" s="9"/>
      <c r="U615" s="11"/>
      <c r="V615" s="9"/>
      <c r="W615" s="11"/>
      <c r="X615" s="9"/>
      <c r="Y615" s="11"/>
      <c r="Z615" s="11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ht="12.75" customHeight="1">
      <c r="A616" s="9"/>
      <c r="B616" s="9"/>
      <c r="C616" s="10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9"/>
      <c r="S616" s="11"/>
      <c r="T616" s="9"/>
      <c r="U616" s="11"/>
      <c r="V616" s="9"/>
      <c r="W616" s="11"/>
      <c r="X616" s="9"/>
      <c r="Y616" s="11"/>
      <c r="Z616" s="11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ht="12.75" customHeight="1">
      <c r="A617" s="9"/>
      <c r="B617" s="9"/>
      <c r="C617" s="10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9"/>
      <c r="S617" s="11"/>
      <c r="T617" s="9"/>
      <c r="U617" s="11"/>
      <c r="V617" s="9"/>
      <c r="W617" s="11"/>
      <c r="X617" s="9"/>
      <c r="Y617" s="11"/>
      <c r="Z617" s="11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ht="12.75" customHeight="1">
      <c r="A618" s="9"/>
      <c r="B618" s="9"/>
      <c r="C618" s="10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9"/>
      <c r="S618" s="11"/>
      <c r="T618" s="9"/>
      <c r="U618" s="11"/>
      <c r="V618" s="9"/>
      <c r="W618" s="11"/>
      <c r="X618" s="9"/>
      <c r="Y618" s="11"/>
      <c r="Z618" s="11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ht="12.75" customHeight="1">
      <c r="A619" s="9"/>
      <c r="B619" s="9"/>
      <c r="C619" s="10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9"/>
      <c r="S619" s="11"/>
      <c r="T619" s="9"/>
      <c r="U619" s="11"/>
      <c r="V619" s="9"/>
      <c r="W619" s="11"/>
      <c r="X619" s="9"/>
      <c r="Y619" s="11"/>
      <c r="Z619" s="11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ht="12.75" customHeight="1">
      <c r="A620" s="9"/>
      <c r="B620" s="9"/>
      <c r="C620" s="10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9"/>
      <c r="S620" s="11"/>
      <c r="T620" s="9"/>
      <c r="U620" s="11"/>
      <c r="V620" s="9"/>
      <c r="W620" s="11"/>
      <c r="X620" s="9"/>
      <c r="Y620" s="11"/>
      <c r="Z620" s="11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ht="12.75" customHeight="1">
      <c r="A621" s="9"/>
      <c r="B621" s="9"/>
      <c r="C621" s="10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9"/>
      <c r="S621" s="11"/>
      <c r="T621" s="9"/>
      <c r="U621" s="11"/>
      <c r="V621" s="9"/>
      <c r="W621" s="11"/>
      <c r="X621" s="9"/>
      <c r="Y621" s="11"/>
      <c r="Z621" s="11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ht="12.75" customHeight="1">
      <c r="A622" s="9"/>
      <c r="B622" s="9"/>
      <c r="C622" s="10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9"/>
      <c r="S622" s="11"/>
      <c r="T622" s="9"/>
      <c r="U622" s="11"/>
      <c r="V622" s="9"/>
      <c r="W622" s="11"/>
      <c r="X622" s="9"/>
      <c r="Y622" s="11"/>
      <c r="Z622" s="11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ht="12.75" customHeight="1">
      <c r="A623" s="9"/>
      <c r="B623" s="9"/>
      <c r="C623" s="10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9"/>
      <c r="S623" s="11"/>
      <c r="T623" s="9"/>
      <c r="U623" s="11"/>
      <c r="V623" s="9"/>
      <c r="W623" s="11"/>
      <c r="X623" s="9"/>
      <c r="Y623" s="11"/>
      <c r="Z623" s="11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ht="12.75" customHeight="1">
      <c r="A624" s="9"/>
      <c r="B624" s="9"/>
      <c r="C624" s="10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9"/>
      <c r="S624" s="11"/>
      <c r="T624" s="9"/>
      <c r="U624" s="11"/>
      <c r="V624" s="9"/>
      <c r="W624" s="11"/>
      <c r="X624" s="9"/>
      <c r="Y624" s="11"/>
      <c r="Z624" s="11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ht="12.75" customHeight="1">
      <c r="A625" s="9"/>
      <c r="B625" s="9"/>
      <c r="C625" s="10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9"/>
      <c r="S625" s="11"/>
      <c r="T625" s="9"/>
      <c r="U625" s="11"/>
      <c r="V625" s="9"/>
      <c r="W625" s="11"/>
      <c r="X625" s="9"/>
      <c r="Y625" s="11"/>
      <c r="Z625" s="11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ht="12.75" customHeight="1">
      <c r="A626" s="9"/>
      <c r="B626" s="9"/>
      <c r="C626" s="10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9"/>
      <c r="S626" s="11"/>
      <c r="T626" s="9"/>
      <c r="U626" s="11"/>
      <c r="V626" s="9"/>
      <c r="W626" s="11"/>
      <c r="X626" s="9"/>
      <c r="Y626" s="11"/>
      <c r="Z626" s="11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ht="12.75" customHeight="1">
      <c r="A627" s="9"/>
      <c r="B627" s="9"/>
      <c r="C627" s="10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9"/>
      <c r="S627" s="11"/>
      <c r="T627" s="9"/>
      <c r="U627" s="11"/>
      <c r="V627" s="9"/>
      <c r="W627" s="11"/>
      <c r="X627" s="9"/>
      <c r="Y627" s="11"/>
      <c r="Z627" s="11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ht="12.75" customHeight="1">
      <c r="A628" s="9"/>
      <c r="B628" s="9"/>
      <c r="C628" s="10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9"/>
      <c r="S628" s="11"/>
      <c r="T628" s="9"/>
      <c r="U628" s="11"/>
      <c r="V628" s="9"/>
      <c r="W628" s="11"/>
      <c r="X628" s="9"/>
      <c r="Y628" s="11"/>
      <c r="Z628" s="11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ht="12.75" customHeight="1">
      <c r="A629" s="9"/>
      <c r="B629" s="9"/>
      <c r="C629" s="10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9"/>
      <c r="S629" s="11"/>
      <c r="T629" s="9"/>
      <c r="U629" s="11"/>
      <c r="V629" s="9"/>
      <c r="W629" s="11"/>
      <c r="X629" s="9"/>
      <c r="Y629" s="11"/>
      <c r="Z629" s="11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ht="12.75" customHeight="1">
      <c r="A630" s="9"/>
      <c r="B630" s="9"/>
      <c r="C630" s="10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9"/>
      <c r="S630" s="11"/>
      <c r="T630" s="9"/>
      <c r="U630" s="11"/>
      <c r="V630" s="9"/>
      <c r="W630" s="11"/>
      <c r="X630" s="9"/>
      <c r="Y630" s="11"/>
      <c r="Z630" s="11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ht="12.75" customHeight="1">
      <c r="A631" s="9"/>
      <c r="B631" s="9"/>
      <c r="C631" s="10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9"/>
      <c r="S631" s="11"/>
      <c r="T631" s="9"/>
      <c r="U631" s="11"/>
      <c r="V631" s="9"/>
      <c r="W631" s="11"/>
      <c r="X631" s="9"/>
      <c r="Y631" s="11"/>
      <c r="Z631" s="11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ht="12.75" customHeight="1">
      <c r="A632" s="9"/>
      <c r="B632" s="9"/>
      <c r="C632" s="10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9"/>
      <c r="S632" s="11"/>
      <c r="T632" s="9"/>
      <c r="U632" s="11"/>
      <c r="V632" s="9"/>
      <c r="W632" s="11"/>
      <c r="X632" s="9"/>
      <c r="Y632" s="11"/>
      <c r="Z632" s="11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ht="12.75" customHeight="1">
      <c r="A633" s="9"/>
      <c r="B633" s="9"/>
      <c r="C633" s="10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9"/>
      <c r="S633" s="11"/>
      <c r="T633" s="9"/>
      <c r="U633" s="11"/>
      <c r="V633" s="9"/>
      <c r="W633" s="11"/>
      <c r="X633" s="9"/>
      <c r="Y633" s="11"/>
      <c r="Z633" s="11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12.75" customHeight="1">
      <c r="A634" s="9"/>
      <c r="B634" s="9"/>
      <c r="C634" s="10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9"/>
      <c r="S634" s="11"/>
      <c r="T634" s="9"/>
      <c r="U634" s="11"/>
      <c r="V634" s="9"/>
      <c r="W634" s="11"/>
      <c r="X634" s="9"/>
      <c r="Y634" s="11"/>
      <c r="Z634" s="11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12.75" customHeight="1">
      <c r="A635" s="9"/>
      <c r="B635" s="9"/>
      <c r="C635" s="10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9"/>
      <c r="S635" s="11"/>
      <c r="T635" s="9"/>
      <c r="U635" s="11"/>
      <c r="V635" s="9"/>
      <c r="W635" s="11"/>
      <c r="X635" s="9"/>
      <c r="Y635" s="11"/>
      <c r="Z635" s="11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12.75" customHeight="1">
      <c r="A636" s="9"/>
      <c r="B636" s="9"/>
      <c r="C636" s="10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9"/>
      <c r="S636" s="11"/>
      <c r="T636" s="9"/>
      <c r="U636" s="11"/>
      <c r="V636" s="9"/>
      <c r="W636" s="11"/>
      <c r="X636" s="9"/>
      <c r="Y636" s="11"/>
      <c r="Z636" s="11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12.75" customHeight="1">
      <c r="A637" s="9"/>
      <c r="B637" s="9"/>
      <c r="C637" s="10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9"/>
      <c r="S637" s="11"/>
      <c r="T637" s="9"/>
      <c r="U637" s="11"/>
      <c r="V637" s="9"/>
      <c r="W637" s="11"/>
      <c r="X637" s="9"/>
      <c r="Y637" s="11"/>
      <c r="Z637" s="11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12.75" customHeight="1">
      <c r="A638" s="9"/>
      <c r="B638" s="9"/>
      <c r="C638" s="10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9"/>
      <c r="S638" s="11"/>
      <c r="T638" s="9"/>
      <c r="U638" s="11"/>
      <c r="V638" s="9"/>
      <c r="W638" s="11"/>
      <c r="X638" s="9"/>
      <c r="Y638" s="11"/>
      <c r="Z638" s="11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ht="12.75" customHeight="1">
      <c r="A639" s="9"/>
      <c r="B639" s="9"/>
      <c r="C639" s="10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9"/>
      <c r="S639" s="11"/>
      <c r="T639" s="9"/>
      <c r="U639" s="11"/>
      <c r="V639" s="9"/>
      <c r="W639" s="11"/>
      <c r="X639" s="9"/>
      <c r="Y639" s="11"/>
      <c r="Z639" s="11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ht="12.75" customHeight="1">
      <c r="A640" s="9"/>
      <c r="B640" s="9"/>
      <c r="C640" s="10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9"/>
      <c r="S640" s="11"/>
      <c r="T640" s="9"/>
      <c r="U640" s="11"/>
      <c r="V640" s="9"/>
      <c r="W640" s="11"/>
      <c r="X640" s="9"/>
      <c r="Y640" s="11"/>
      <c r="Z640" s="11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ht="12.75" customHeight="1">
      <c r="A641" s="9"/>
      <c r="B641" s="9"/>
      <c r="C641" s="10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9"/>
      <c r="S641" s="11"/>
      <c r="T641" s="9"/>
      <c r="U641" s="11"/>
      <c r="V641" s="9"/>
      <c r="W641" s="11"/>
      <c r="X641" s="9"/>
      <c r="Y641" s="11"/>
      <c r="Z641" s="11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ht="12.75" customHeight="1">
      <c r="A642" s="9"/>
      <c r="B642" s="9"/>
      <c r="C642" s="10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9"/>
      <c r="S642" s="11"/>
      <c r="T642" s="9"/>
      <c r="U642" s="11"/>
      <c r="V642" s="9"/>
      <c r="W642" s="11"/>
      <c r="X642" s="9"/>
      <c r="Y642" s="11"/>
      <c r="Z642" s="11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ht="12.75" customHeight="1">
      <c r="A643" s="9"/>
      <c r="B643" s="9"/>
      <c r="C643" s="10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9"/>
      <c r="S643" s="11"/>
      <c r="T643" s="9"/>
      <c r="U643" s="11"/>
      <c r="V643" s="9"/>
      <c r="W643" s="11"/>
      <c r="X643" s="9"/>
      <c r="Y643" s="11"/>
      <c r="Z643" s="11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ht="12.75" customHeight="1">
      <c r="A644" s="9"/>
      <c r="B644" s="9"/>
      <c r="C644" s="10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9"/>
      <c r="S644" s="11"/>
      <c r="T644" s="9"/>
      <c r="U644" s="11"/>
      <c r="V644" s="9"/>
      <c r="W644" s="11"/>
      <c r="X644" s="9"/>
      <c r="Y644" s="11"/>
      <c r="Z644" s="11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ht="12.75" customHeight="1">
      <c r="A645" s="9"/>
      <c r="B645" s="9"/>
      <c r="C645" s="10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9"/>
      <c r="S645" s="11"/>
      <c r="T645" s="9"/>
      <c r="U645" s="11"/>
      <c r="V645" s="9"/>
      <c r="W645" s="11"/>
      <c r="X645" s="9"/>
      <c r="Y645" s="11"/>
      <c r="Z645" s="11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ht="12.75" customHeight="1">
      <c r="A646" s="9"/>
      <c r="B646" s="9"/>
      <c r="C646" s="10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9"/>
      <c r="S646" s="11"/>
      <c r="T646" s="9"/>
      <c r="U646" s="11"/>
      <c r="V646" s="9"/>
      <c r="W646" s="11"/>
      <c r="X646" s="9"/>
      <c r="Y646" s="11"/>
      <c r="Z646" s="11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ht="12.75" customHeight="1">
      <c r="A647" s="9"/>
      <c r="B647" s="9"/>
      <c r="C647" s="10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9"/>
      <c r="S647" s="11"/>
      <c r="T647" s="9"/>
      <c r="U647" s="11"/>
      <c r="V647" s="9"/>
      <c r="W647" s="11"/>
      <c r="X647" s="9"/>
      <c r="Y647" s="11"/>
      <c r="Z647" s="11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ht="12.75" customHeight="1">
      <c r="A648" s="9"/>
      <c r="B648" s="9"/>
      <c r="C648" s="10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9"/>
      <c r="S648" s="11"/>
      <c r="T648" s="9"/>
      <c r="U648" s="11"/>
      <c r="V648" s="9"/>
      <c r="W648" s="11"/>
      <c r="X648" s="9"/>
      <c r="Y648" s="11"/>
      <c r="Z648" s="11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ht="12.75" customHeight="1">
      <c r="A649" s="9"/>
      <c r="B649" s="9"/>
      <c r="C649" s="10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9"/>
      <c r="S649" s="11"/>
      <c r="T649" s="9"/>
      <c r="U649" s="11"/>
      <c r="V649" s="9"/>
      <c r="W649" s="11"/>
      <c r="X649" s="9"/>
      <c r="Y649" s="11"/>
      <c r="Z649" s="11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ht="12.75" customHeight="1">
      <c r="A650" s="9"/>
      <c r="B650" s="9"/>
      <c r="C650" s="10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9"/>
      <c r="S650" s="11"/>
      <c r="T650" s="9"/>
      <c r="U650" s="11"/>
      <c r="V650" s="9"/>
      <c r="W650" s="11"/>
      <c r="X650" s="9"/>
      <c r="Y650" s="11"/>
      <c r="Z650" s="11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ht="12.75" customHeight="1">
      <c r="A651" s="9"/>
      <c r="B651" s="9"/>
      <c r="C651" s="10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9"/>
      <c r="S651" s="11"/>
      <c r="T651" s="9"/>
      <c r="U651" s="11"/>
      <c r="V651" s="9"/>
      <c r="W651" s="11"/>
      <c r="X651" s="9"/>
      <c r="Y651" s="11"/>
      <c r="Z651" s="11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ht="12.75" customHeight="1">
      <c r="A652" s="9"/>
      <c r="B652" s="9"/>
      <c r="C652" s="10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9"/>
      <c r="S652" s="11"/>
      <c r="T652" s="9"/>
      <c r="U652" s="11"/>
      <c r="V652" s="9"/>
      <c r="W652" s="11"/>
      <c r="X652" s="9"/>
      <c r="Y652" s="11"/>
      <c r="Z652" s="11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ht="12.75" customHeight="1">
      <c r="A653" s="9"/>
      <c r="B653" s="9"/>
      <c r="C653" s="10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9"/>
      <c r="S653" s="11"/>
      <c r="T653" s="9"/>
      <c r="U653" s="11"/>
      <c r="V653" s="9"/>
      <c r="W653" s="11"/>
      <c r="X653" s="9"/>
      <c r="Y653" s="11"/>
      <c r="Z653" s="11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ht="12.75" customHeight="1">
      <c r="A654" s="9"/>
      <c r="B654" s="9"/>
      <c r="C654" s="10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9"/>
      <c r="S654" s="11"/>
      <c r="T654" s="9"/>
      <c r="U654" s="11"/>
      <c r="V654" s="9"/>
      <c r="W654" s="11"/>
      <c r="X654" s="9"/>
      <c r="Y654" s="11"/>
      <c r="Z654" s="11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ht="12.75" customHeight="1">
      <c r="A655" s="9"/>
      <c r="B655" s="9"/>
      <c r="C655" s="10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9"/>
      <c r="S655" s="11"/>
      <c r="T655" s="9"/>
      <c r="U655" s="11"/>
      <c r="V655" s="9"/>
      <c r="W655" s="11"/>
      <c r="X655" s="9"/>
      <c r="Y655" s="11"/>
      <c r="Z655" s="11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ht="12.75" customHeight="1">
      <c r="A656" s="9"/>
      <c r="B656" s="9"/>
      <c r="C656" s="10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9"/>
      <c r="S656" s="11"/>
      <c r="T656" s="9"/>
      <c r="U656" s="11"/>
      <c r="V656" s="9"/>
      <c r="W656" s="11"/>
      <c r="X656" s="9"/>
      <c r="Y656" s="11"/>
      <c r="Z656" s="11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ht="12.75" customHeight="1">
      <c r="A657" s="9"/>
      <c r="B657" s="9"/>
      <c r="C657" s="10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9"/>
      <c r="S657" s="11"/>
      <c r="T657" s="9"/>
      <c r="U657" s="11"/>
      <c r="V657" s="9"/>
      <c r="W657" s="11"/>
      <c r="X657" s="9"/>
      <c r="Y657" s="11"/>
      <c r="Z657" s="11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ht="12.75" customHeight="1">
      <c r="A658" s="9"/>
      <c r="B658" s="9"/>
      <c r="C658" s="10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9"/>
      <c r="S658" s="11"/>
      <c r="T658" s="9"/>
      <c r="U658" s="11"/>
      <c r="V658" s="9"/>
      <c r="W658" s="11"/>
      <c r="X658" s="9"/>
      <c r="Y658" s="11"/>
      <c r="Z658" s="11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ht="12.75" customHeight="1">
      <c r="A659" s="9"/>
      <c r="B659" s="9"/>
      <c r="C659" s="10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9"/>
      <c r="S659" s="11"/>
      <c r="T659" s="9"/>
      <c r="U659" s="11"/>
      <c r="V659" s="9"/>
      <c r="W659" s="11"/>
      <c r="X659" s="9"/>
      <c r="Y659" s="11"/>
      <c r="Z659" s="11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ht="12.75" customHeight="1">
      <c r="A660" s="9"/>
      <c r="B660" s="9"/>
      <c r="C660" s="10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9"/>
      <c r="S660" s="11"/>
      <c r="T660" s="9"/>
      <c r="U660" s="11"/>
      <c r="V660" s="9"/>
      <c r="W660" s="11"/>
      <c r="X660" s="9"/>
      <c r="Y660" s="11"/>
      <c r="Z660" s="11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ht="12.75" customHeight="1">
      <c r="A661" s="9"/>
      <c r="B661" s="9"/>
      <c r="C661" s="10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9"/>
      <c r="S661" s="11"/>
      <c r="T661" s="9"/>
      <c r="U661" s="11"/>
      <c r="V661" s="9"/>
      <c r="W661" s="11"/>
      <c r="X661" s="9"/>
      <c r="Y661" s="11"/>
      <c r="Z661" s="11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ht="12.75" customHeight="1">
      <c r="A662" s="9"/>
      <c r="B662" s="9"/>
      <c r="C662" s="10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9"/>
      <c r="S662" s="11"/>
      <c r="T662" s="9"/>
      <c r="U662" s="11"/>
      <c r="V662" s="9"/>
      <c r="W662" s="11"/>
      <c r="X662" s="9"/>
      <c r="Y662" s="11"/>
      <c r="Z662" s="11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ht="12.75" customHeight="1">
      <c r="A663" s="9"/>
      <c r="B663" s="9"/>
      <c r="C663" s="10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9"/>
      <c r="S663" s="11"/>
      <c r="T663" s="9"/>
      <c r="U663" s="11"/>
      <c r="V663" s="9"/>
      <c r="W663" s="11"/>
      <c r="X663" s="9"/>
      <c r="Y663" s="11"/>
      <c r="Z663" s="11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ht="12.75" customHeight="1">
      <c r="A664" s="9"/>
      <c r="B664" s="9"/>
      <c r="C664" s="10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9"/>
      <c r="S664" s="11"/>
      <c r="T664" s="9"/>
      <c r="U664" s="11"/>
      <c r="V664" s="9"/>
      <c r="W664" s="11"/>
      <c r="X664" s="9"/>
      <c r="Y664" s="11"/>
      <c r="Z664" s="11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ht="12.75" customHeight="1">
      <c r="A665" s="9"/>
      <c r="B665" s="9"/>
      <c r="C665" s="10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9"/>
      <c r="S665" s="11"/>
      <c r="T665" s="9"/>
      <c r="U665" s="11"/>
      <c r="V665" s="9"/>
      <c r="W665" s="11"/>
      <c r="X665" s="9"/>
      <c r="Y665" s="11"/>
      <c r="Z665" s="11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ht="12.75" customHeight="1">
      <c r="A666" s="9"/>
      <c r="B666" s="9"/>
      <c r="C666" s="10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9"/>
      <c r="S666" s="11"/>
      <c r="T666" s="9"/>
      <c r="U666" s="11"/>
      <c r="V666" s="9"/>
      <c r="W666" s="11"/>
      <c r="X666" s="9"/>
      <c r="Y666" s="11"/>
      <c r="Z666" s="11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ht="12.75" customHeight="1">
      <c r="A667" s="9"/>
      <c r="B667" s="9"/>
      <c r="C667" s="10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9"/>
      <c r="S667" s="11"/>
      <c r="T667" s="9"/>
      <c r="U667" s="11"/>
      <c r="V667" s="9"/>
      <c r="W667" s="11"/>
      <c r="X667" s="9"/>
      <c r="Y667" s="11"/>
      <c r="Z667" s="11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ht="12.75" customHeight="1">
      <c r="A668" s="9"/>
      <c r="B668" s="9"/>
      <c r="C668" s="10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9"/>
      <c r="S668" s="11"/>
      <c r="T668" s="9"/>
      <c r="U668" s="11"/>
      <c r="V668" s="9"/>
      <c r="W668" s="11"/>
      <c r="X668" s="9"/>
      <c r="Y668" s="11"/>
      <c r="Z668" s="11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ht="12.75" customHeight="1">
      <c r="A669" s="9"/>
      <c r="B669" s="9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9"/>
      <c r="S669" s="11"/>
      <c r="T669" s="9"/>
      <c r="U669" s="11"/>
      <c r="V669" s="9"/>
      <c r="W669" s="11"/>
      <c r="X669" s="9"/>
      <c r="Y669" s="11"/>
      <c r="Z669" s="11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ht="12.75" customHeight="1">
      <c r="A670" s="9"/>
      <c r="B670" s="9"/>
      <c r="C670" s="10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9"/>
      <c r="S670" s="11"/>
      <c r="T670" s="9"/>
      <c r="U670" s="11"/>
      <c r="V670" s="9"/>
      <c r="W670" s="11"/>
      <c r="X670" s="9"/>
      <c r="Y670" s="11"/>
      <c r="Z670" s="11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ht="12.75" customHeight="1">
      <c r="A671" s="9"/>
      <c r="B671" s="9"/>
      <c r="C671" s="10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9"/>
      <c r="S671" s="11"/>
      <c r="T671" s="9"/>
      <c r="U671" s="11"/>
      <c r="V671" s="9"/>
      <c r="W671" s="11"/>
      <c r="X671" s="9"/>
      <c r="Y671" s="11"/>
      <c r="Z671" s="11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ht="12.75" customHeight="1">
      <c r="A672" s="9"/>
      <c r="B672" s="9"/>
      <c r="C672" s="10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9"/>
      <c r="S672" s="11"/>
      <c r="T672" s="9"/>
      <c r="U672" s="11"/>
      <c r="V672" s="9"/>
      <c r="W672" s="11"/>
      <c r="X672" s="9"/>
      <c r="Y672" s="11"/>
      <c r="Z672" s="11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ht="12.75" customHeight="1">
      <c r="A673" s="9"/>
      <c r="B673" s="9"/>
      <c r="C673" s="10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9"/>
      <c r="S673" s="11"/>
      <c r="T673" s="9"/>
      <c r="U673" s="11"/>
      <c r="V673" s="9"/>
      <c r="W673" s="11"/>
      <c r="X673" s="9"/>
      <c r="Y673" s="11"/>
      <c r="Z673" s="11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ht="12.75" customHeight="1">
      <c r="A674" s="9"/>
      <c r="B674" s="9"/>
      <c r="C674" s="10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9"/>
      <c r="S674" s="11"/>
      <c r="T674" s="9"/>
      <c r="U674" s="11"/>
      <c r="V674" s="9"/>
      <c r="W674" s="11"/>
      <c r="X674" s="9"/>
      <c r="Y674" s="11"/>
      <c r="Z674" s="11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ht="12.75" customHeight="1">
      <c r="A675" s="9"/>
      <c r="B675" s="9"/>
      <c r="C675" s="10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9"/>
      <c r="S675" s="11"/>
      <c r="T675" s="9"/>
      <c r="U675" s="11"/>
      <c r="V675" s="9"/>
      <c r="W675" s="11"/>
      <c r="X675" s="9"/>
      <c r="Y675" s="11"/>
      <c r="Z675" s="11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ht="12.75" customHeight="1">
      <c r="A676" s="9"/>
      <c r="B676" s="9"/>
      <c r="C676" s="10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9"/>
      <c r="S676" s="11"/>
      <c r="T676" s="9"/>
      <c r="U676" s="11"/>
      <c r="V676" s="9"/>
      <c r="W676" s="11"/>
      <c r="X676" s="9"/>
      <c r="Y676" s="11"/>
      <c r="Z676" s="11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ht="12.75" customHeight="1">
      <c r="A677" s="9"/>
      <c r="B677" s="9"/>
      <c r="C677" s="10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9"/>
      <c r="S677" s="11"/>
      <c r="T677" s="9"/>
      <c r="U677" s="11"/>
      <c r="V677" s="9"/>
      <c r="W677" s="11"/>
      <c r="X677" s="9"/>
      <c r="Y677" s="11"/>
      <c r="Z677" s="11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ht="12.75" customHeight="1">
      <c r="A678" s="9"/>
      <c r="B678" s="9"/>
      <c r="C678" s="10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9"/>
      <c r="S678" s="11"/>
      <c r="T678" s="9"/>
      <c r="U678" s="11"/>
      <c r="V678" s="9"/>
      <c r="W678" s="11"/>
      <c r="X678" s="9"/>
      <c r="Y678" s="11"/>
      <c r="Z678" s="11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ht="12.75" customHeight="1">
      <c r="A679" s="9"/>
      <c r="B679" s="9"/>
      <c r="C679" s="10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9"/>
      <c r="S679" s="11"/>
      <c r="T679" s="9"/>
      <c r="U679" s="11"/>
      <c r="V679" s="9"/>
      <c r="W679" s="11"/>
      <c r="X679" s="9"/>
      <c r="Y679" s="11"/>
      <c r="Z679" s="11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ht="12.75" customHeight="1">
      <c r="A680" s="9"/>
      <c r="B680" s="9"/>
      <c r="C680" s="10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9"/>
      <c r="S680" s="11"/>
      <c r="T680" s="9"/>
      <c r="U680" s="11"/>
      <c r="V680" s="9"/>
      <c r="W680" s="11"/>
      <c r="X680" s="9"/>
      <c r="Y680" s="11"/>
      <c r="Z680" s="11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ht="12.75" customHeight="1">
      <c r="A681" s="9"/>
      <c r="B681" s="9"/>
      <c r="C681" s="10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9"/>
      <c r="S681" s="11"/>
      <c r="T681" s="9"/>
      <c r="U681" s="11"/>
      <c r="V681" s="9"/>
      <c r="W681" s="11"/>
      <c r="X681" s="9"/>
      <c r="Y681" s="11"/>
      <c r="Z681" s="11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ht="12.75" customHeight="1">
      <c r="A682" s="9"/>
      <c r="B682" s="9"/>
      <c r="C682" s="10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9"/>
      <c r="S682" s="11"/>
      <c r="T682" s="9"/>
      <c r="U682" s="11"/>
      <c r="V682" s="9"/>
      <c r="W682" s="11"/>
      <c r="X682" s="9"/>
      <c r="Y682" s="11"/>
      <c r="Z682" s="11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ht="12.75" customHeight="1">
      <c r="A683" s="9"/>
      <c r="B683" s="9"/>
      <c r="C683" s="10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9"/>
      <c r="S683" s="11"/>
      <c r="T683" s="9"/>
      <c r="U683" s="11"/>
      <c r="V683" s="9"/>
      <c r="W683" s="11"/>
      <c r="X683" s="9"/>
      <c r="Y683" s="11"/>
      <c r="Z683" s="11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ht="12.75" customHeight="1">
      <c r="A684" s="9"/>
      <c r="B684" s="9"/>
      <c r="C684" s="10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9"/>
      <c r="S684" s="11"/>
      <c r="T684" s="9"/>
      <c r="U684" s="11"/>
      <c r="V684" s="9"/>
      <c r="W684" s="11"/>
      <c r="X684" s="9"/>
      <c r="Y684" s="11"/>
      <c r="Z684" s="11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ht="12.75" customHeight="1">
      <c r="A685" s="9"/>
      <c r="B685" s="9"/>
      <c r="C685" s="10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9"/>
      <c r="S685" s="11"/>
      <c r="T685" s="9"/>
      <c r="U685" s="11"/>
      <c r="V685" s="9"/>
      <c r="W685" s="11"/>
      <c r="X685" s="9"/>
      <c r="Y685" s="11"/>
      <c r="Z685" s="11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ht="12.75" customHeight="1">
      <c r="A686" s="9"/>
      <c r="B686" s="9"/>
      <c r="C686" s="10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9"/>
      <c r="S686" s="11"/>
      <c r="T686" s="9"/>
      <c r="U686" s="11"/>
      <c r="V686" s="9"/>
      <c r="W686" s="11"/>
      <c r="X686" s="9"/>
      <c r="Y686" s="11"/>
      <c r="Z686" s="11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ht="12.75" customHeight="1">
      <c r="A687" s="9"/>
      <c r="B687" s="9"/>
      <c r="C687" s="10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9"/>
      <c r="S687" s="11"/>
      <c r="T687" s="9"/>
      <c r="U687" s="11"/>
      <c r="V687" s="9"/>
      <c r="W687" s="11"/>
      <c r="X687" s="9"/>
      <c r="Y687" s="11"/>
      <c r="Z687" s="11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ht="12.75" customHeight="1">
      <c r="A688" s="9"/>
      <c r="B688" s="9"/>
      <c r="C688" s="10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9"/>
      <c r="S688" s="11"/>
      <c r="T688" s="9"/>
      <c r="U688" s="11"/>
      <c r="V688" s="9"/>
      <c r="W688" s="11"/>
      <c r="X688" s="9"/>
      <c r="Y688" s="11"/>
      <c r="Z688" s="11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ht="12.75" customHeight="1">
      <c r="A689" s="9"/>
      <c r="B689" s="9"/>
      <c r="C689" s="10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9"/>
      <c r="S689" s="11"/>
      <c r="T689" s="9"/>
      <c r="U689" s="11"/>
      <c r="V689" s="9"/>
      <c r="W689" s="11"/>
      <c r="X689" s="9"/>
      <c r="Y689" s="11"/>
      <c r="Z689" s="11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ht="12.75" customHeight="1">
      <c r="A690" s="9"/>
      <c r="B690" s="9"/>
      <c r="C690" s="10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9"/>
      <c r="S690" s="11"/>
      <c r="T690" s="9"/>
      <c r="U690" s="11"/>
      <c r="V690" s="9"/>
      <c r="W690" s="11"/>
      <c r="X690" s="9"/>
      <c r="Y690" s="11"/>
      <c r="Z690" s="11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ht="12.75" customHeight="1">
      <c r="A691" s="9"/>
      <c r="B691" s="9"/>
      <c r="C691" s="10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9"/>
      <c r="S691" s="11"/>
      <c r="T691" s="9"/>
      <c r="U691" s="11"/>
      <c r="V691" s="9"/>
      <c r="W691" s="11"/>
      <c r="X691" s="9"/>
      <c r="Y691" s="11"/>
      <c r="Z691" s="11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ht="12.75" customHeight="1">
      <c r="A692" s="9"/>
      <c r="B692" s="9"/>
      <c r="C692" s="10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9"/>
      <c r="S692" s="11"/>
      <c r="T692" s="9"/>
      <c r="U692" s="11"/>
      <c r="V692" s="9"/>
      <c r="W692" s="11"/>
      <c r="X692" s="9"/>
      <c r="Y692" s="11"/>
      <c r="Z692" s="11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ht="12.75" customHeight="1">
      <c r="A693" s="9"/>
      <c r="B693" s="9"/>
      <c r="C693" s="10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9"/>
      <c r="S693" s="11"/>
      <c r="T693" s="9"/>
      <c r="U693" s="11"/>
      <c r="V693" s="9"/>
      <c r="W693" s="11"/>
      <c r="X693" s="9"/>
      <c r="Y693" s="11"/>
      <c r="Z693" s="11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ht="12.75" customHeight="1">
      <c r="A694" s="9"/>
      <c r="B694" s="9"/>
      <c r="C694" s="10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9"/>
      <c r="S694" s="11"/>
      <c r="T694" s="9"/>
      <c r="U694" s="11"/>
      <c r="V694" s="9"/>
      <c r="W694" s="11"/>
      <c r="X694" s="9"/>
      <c r="Y694" s="11"/>
      <c r="Z694" s="11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ht="12.75" customHeight="1">
      <c r="A695" s="9"/>
      <c r="B695" s="9"/>
      <c r="C695" s="10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9"/>
      <c r="S695" s="11"/>
      <c r="T695" s="9"/>
      <c r="U695" s="11"/>
      <c r="V695" s="9"/>
      <c r="W695" s="11"/>
      <c r="X695" s="9"/>
      <c r="Y695" s="11"/>
      <c r="Z695" s="11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ht="12.75" customHeight="1">
      <c r="A696" s="9"/>
      <c r="B696" s="9"/>
      <c r="C696" s="10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9"/>
      <c r="S696" s="11"/>
      <c r="T696" s="9"/>
      <c r="U696" s="11"/>
      <c r="V696" s="9"/>
      <c r="W696" s="11"/>
      <c r="X696" s="9"/>
      <c r="Y696" s="11"/>
      <c r="Z696" s="11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ht="12.75" customHeight="1">
      <c r="A697" s="9"/>
      <c r="B697" s="9"/>
      <c r="C697" s="10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9"/>
      <c r="S697" s="11"/>
      <c r="T697" s="9"/>
      <c r="U697" s="11"/>
      <c r="V697" s="9"/>
      <c r="W697" s="11"/>
      <c r="X697" s="9"/>
      <c r="Y697" s="11"/>
      <c r="Z697" s="11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ht="12.75" customHeight="1">
      <c r="A698" s="9"/>
      <c r="B698" s="9"/>
      <c r="C698" s="10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9"/>
      <c r="S698" s="11"/>
      <c r="T698" s="9"/>
      <c r="U698" s="11"/>
      <c r="V698" s="9"/>
      <c r="W698" s="11"/>
      <c r="X698" s="9"/>
      <c r="Y698" s="11"/>
      <c r="Z698" s="11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ht="12.75" customHeight="1">
      <c r="A699" s="9"/>
      <c r="B699" s="9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9"/>
      <c r="S699" s="11"/>
      <c r="T699" s="9"/>
      <c r="U699" s="11"/>
      <c r="V699" s="9"/>
      <c r="W699" s="11"/>
      <c r="X699" s="9"/>
      <c r="Y699" s="11"/>
      <c r="Z699" s="11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ht="12.75" customHeight="1">
      <c r="A700" s="9"/>
      <c r="B700" s="9"/>
      <c r="C700" s="10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9"/>
      <c r="S700" s="11"/>
      <c r="T700" s="9"/>
      <c r="U700" s="11"/>
      <c r="V700" s="9"/>
      <c r="W700" s="11"/>
      <c r="X700" s="9"/>
      <c r="Y700" s="11"/>
      <c r="Z700" s="11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ht="12.75" customHeight="1">
      <c r="A701" s="9"/>
      <c r="B701" s="9"/>
      <c r="C701" s="10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9"/>
      <c r="S701" s="11"/>
      <c r="T701" s="9"/>
      <c r="U701" s="11"/>
      <c r="V701" s="9"/>
      <c r="W701" s="11"/>
      <c r="X701" s="9"/>
      <c r="Y701" s="11"/>
      <c r="Z701" s="11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ht="12.75" customHeight="1">
      <c r="A702" s="9"/>
      <c r="B702" s="9"/>
      <c r="C702" s="10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9"/>
      <c r="S702" s="11"/>
      <c r="T702" s="9"/>
      <c r="U702" s="11"/>
      <c r="V702" s="9"/>
      <c r="W702" s="11"/>
      <c r="X702" s="9"/>
      <c r="Y702" s="11"/>
      <c r="Z702" s="11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ht="12.75" customHeight="1">
      <c r="A703" s="9"/>
      <c r="B703" s="9"/>
      <c r="C703" s="10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9"/>
      <c r="S703" s="11"/>
      <c r="T703" s="9"/>
      <c r="U703" s="11"/>
      <c r="V703" s="9"/>
      <c r="W703" s="11"/>
      <c r="X703" s="9"/>
      <c r="Y703" s="11"/>
      <c r="Z703" s="11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ht="12.75" customHeight="1">
      <c r="A704" s="9"/>
      <c r="B704" s="9"/>
      <c r="C704" s="10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9"/>
      <c r="S704" s="11"/>
      <c r="T704" s="9"/>
      <c r="U704" s="11"/>
      <c r="V704" s="9"/>
      <c r="W704" s="11"/>
      <c r="X704" s="9"/>
      <c r="Y704" s="11"/>
      <c r="Z704" s="11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ht="12.75" customHeight="1">
      <c r="A705" s="9"/>
      <c r="B705" s="9"/>
      <c r="C705" s="10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9"/>
      <c r="S705" s="11"/>
      <c r="T705" s="9"/>
      <c r="U705" s="11"/>
      <c r="V705" s="9"/>
      <c r="W705" s="11"/>
      <c r="X705" s="9"/>
      <c r="Y705" s="11"/>
      <c r="Z705" s="11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ht="12.75" customHeight="1">
      <c r="A706" s="9"/>
      <c r="B706" s="9"/>
      <c r="C706" s="10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9"/>
      <c r="S706" s="11"/>
      <c r="T706" s="9"/>
      <c r="U706" s="11"/>
      <c r="V706" s="9"/>
      <c r="W706" s="11"/>
      <c r="X706" s="9"/>
      <c r="Y706" s="11"/>
      <c r="Z706" s="11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ht="12.75" customHeight="1">
      <c r="A707" s="9"/>
      <c r="B707" s="9"/>
      <c r="C707" s="10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9"/>
      <c r="S707" s="11"/>
      <c r="T707" s="9"/>
      <c r="U707" s="11"/>
      <c r="V707" s="9"/>
      <c r="W707" s="11"/>
      <c r="X707" s="9"/>
      <c r="Y707" s="11"/>
      <c r="Z707" s="11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ht="12.75" customHeight="1">
      <c r="A708" s="9"/>
      <c r="B708" s="9"/>
      <c r="C708" s="10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9"/>
      <c r="S708" s="11"/>
      <c r="T708" s="9"/>
      <c r="U708" s="11"/>
      <c r="V708" s="9"/>
      <c r="W708" s="11"/>
      <c r="X708" s="9"/>
      <c r="Y708" s="11"/>
      <c r="Z708" s="11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ht="12.75" customHeight="1">
      <c r="A709" s="9"/>
      <c r="B709" s="9"/>
      <c r="C709" s="10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9"/>
      <c r="S709" s="11"/>
      <c r="T709" s="9"/>
      <c r="U709" s="11"/>
      <c r="V709" s="9"/>
      <c r="W709" s="11"/>
      <c r="X709" s="9"/>
      <c r="Y709" s="11"/>
      <c r="Z709" s="11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ht="12.75" customHeight="1">
      <c r="A710" s="9"/>
      <c r="B710" s="9"/>
      <c r="C710" s="10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9"/>
      <c r="S710" s="11"/>
      <c r="T710" s="9"/>
      <c r="U710" s="11"/>
      <c r="V710" s="9"/>
      <c r="W710" s="11"/>
      <c r="X710" s="9"/>
      <c r="Y710" s="11"/>
      <c r="Z710" s="11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ht="12.75" customHeight="1">
      <c r="A711" s="9"/>
      <c r="B711" s="9"/>
      <c r="C711" s="10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9"/>
      <c r="S711" s="11"/>
      <c r="T711" s="9"/>
      <c r="U711" s="11"/>
      <c r="V711" s="9"/>
      <c r="W711" s="11"/>
      <c r="X711" s="9"/>
      <c r="Y711" s="11"/>
      <c r="Z711" s="11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ht="12.75" customHeight="1">
      <c r="A712" s="9"/>
      <c r="B712" s="9"/>
      <c r="C712" s="10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9"/>
      <c r="S712" s="11"/>
      <c r="T712" s="9"/>
      <c r="U712" s="11"/>
      <c r="V712" s="9"/>
      <c r="W712" s="11"/>
      <c r="X712" s="9"/>
      <c r="Y712" s="11"/>
      <c r="Z712" s="11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ht="12.75" customHeight="1">
      <c r="A713" s="9"/>
      <c r="B713" s="9"/>
      <c r="C713" s="10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9"/>
      <c r="S713" s="11"/>
      <c r="T713" s="9"/>
      <c r="U713" s="11"/>
      <c r="V713" s="9"/>
      <c r="W713" s="11"/>
      <c r="X713" s="9"/>
      <c r="Y713" s="11"/>
      <c r="Z713" s="11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ht="12.75" customHeight="1">
      <c r="A714" s="9"/>
      <c r="B714" s="9"/>
      <c r="C714" s="10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9"/>
      <c r="S714" s="11"/>
      <c r="T714" s="9"/>
      <c r="U714" s="11"/>
      <c r="V714" s="9"/>
      <c r="W714" s="11"/>
      <c r="X714" s="9"/>
      <c r="Y714" s="11"/>
      <c r="Z714" s="11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ht="12.75" customHeight="1">
      <c r="A715" s="9"/>
      <c r="B715" s="9"/>
      <c r="C715" s="10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9"/>
      <c r="S715" s="11"/>
      <c r="T715" s="9"/>
      <c r="U715" s="11"/>
      <c r="V715" s="9"/>
      <c r="W715" s="11"/>
      <c r="X715" s="9"/>
      <c r="Y715" s="11"/>
      <c r="Z715" s="11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ht="12.75" customHeight="1">
      <c r="A716" s="9"/>
      <c r="B716" s="9"/>
      <c r="C716" s="10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9"/>
      <c r="S716" s="11"/>
      <c r="T716" s="9"/>
      <c r="U716" s="11"/>
      <c r="V716" s="9"/>
      <c r="W716" s="11"/>
      <c r="X716" s="9"/>
      <c r="Y716" s="11"/>
      <c r="Z716" s="11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ht="12.75" customHeight="1">
      <c r="A717" s="9"/>
      <c r="B717" s="9"/>
      <c r="C717" s="10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9"/>
      <c r="S717" s="11"/>
      <c r="T717" s="9"/>
      <c r="U717" s="11"/>
      <c r="V717" s="9"/>
      <c r="W717" s="11"/>
      <c r="X717" s="9"/>
      <c r="Y717" s="11"/>
      <c r="Z717" s="11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ht="12.75" customHeight="1">
      <c r="A718" s="9"/>
      <c r="B718" s="9"/>
      <c r="C718" s="10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9"/>
      <c r="S718" s="11"/>
      <c r="T718" s="9"/>
      <c r="U718" s="11"/>
      <c r="V718" s="9"/>
      <c r="W718" s="11"/>
      <c r="X718" s="9"/>
      <c r="Y718" s="11"/>
      <c r="Z718" s="11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ht="12.75" customHeight="1">
      <c r="A719" s="9"/>
      <c r="B719" s="9"/>
      <c r="C719" s="10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9"/>
      <c r="S719" s="11"/>
      <c r="T719" s="9"/>
      <c r="U719" s="11"/>
      <c r="V719" s="9"/>
      <c r="W719" s="11"/>
      <c r="X719" s="9"/>
      <c r="Y719" s="11"/>
      <c r="Z719" s="11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ht="12.75" customHeight="1">
      <c r="A720" s="9"/>
      <c r="B720" s="9"/>
      <c r="C720" s="10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9"/>
      <c r="S720" s="11"/>
      <c r="T720" s="9"/>
      <c r="U720" s="11"/>
      <c r="V720" s="9"/>
      <c r="W720" s="11"/>
      <c r="X720" s="9"/>
      <c r="Y720" s="11"/>
      <c r="Z720" s="11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ht="12.75" customHeight="1">
      <c r="A721" s="9"/>
      <c r="B721" s="9"/>
      <c r="C721" s="10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9"/>
      <c r="S721" s="11"/>
      <c r="T721" s="9"/>
      <c r="U721" s="11"/>
      <c r="V721" s="9"/>
      <c r="W721" s="11"/>
      <c r="X721" s="9"/>
      <c r="Y721" s="11"/>
      <c r="Z721" s="11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ht="12.75" customHeight="1">
      <c r="A722" s="9"/>
      <c r="B722" s="9"/>
      <c r="C722" s="10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9"/>
      <c r="S722" s="11"/>
      <c r="T722" s="9"/>
      <c r="U722" s="11"/>
      <c r="V722" s="9"/>
      <c r="W722" s="11"/>
      <c r="X722" s="9"/>
      <c r="Y722" s="11"/>
      <c r="Z722" s="11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ht="12.75" customHeight="1">
      <c r="A723" s="9"/>
      <c r="B723" s="9"/>
      <c r="C723" s="10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9"/>
      <c r="S723" s="11"/>
      <c r="T723" s="9"/>
      <c r="U723" s="11"/>
      <c r="V723" s="9"/>
      <c r="W723" s="11"/>
      <c r="X723" s="9"/>
      <c r="Y723" s="11"/>
      <c r="Z723" s="11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ht="12.75" customHeight="1">
      <c r="A724" s="9"/>
      <c r="B724" s="9"/>
      <c r="C724" s="10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9"/>
      <c r="S724" s="11"/>
      <c r="T724" s="9"/>
      <c r="U724" s="11"/>
      <c r="V724" s="9"/>
      <c r="W724" s="11"/>
      <c r="X724" s="9"/>
      <c r="Y724" s="11"/>
      <c r="Z724" s="11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ht="12.75" customHeight="1">
      <c r="A725" s="9"/>
      <c r="B725" s="9"/>
      <c r="C725" s="10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9"/>
      <c r="S725" s="11"/>
      <c r="T725" s="9"/>
      <c r="U725" s="11"/>
      <c r="V725" s="9"/>
      <c r="W725" s="11"/>
      <c r="X725" s="9"/>
      <c r="Y725" s="11"/>
      <c r="Z725" s="11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ht="12.75" customHeight="1">
      <c r="A726" s="9"/>
      <c r="B726" s="9"/>
      <c r="C726" s="10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9"/>
      <c r="S726" s="11"/>
      <c r="T726" s="9"/>
      <c r="U726" s="11"/>
      <c r="V726" s="9"/>
      <c r="W726" s="11"/>
      <c r="X726" s="9"/>
      <c r="Y726" s="11"/>
      <c r="Z726" s="11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ht="12.75" customHeight="1">
      <c r="A727" s="9"/>
      <c r="B727" s="9"/>
      <c r="C727" s="10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9"/>
      <c r="S727" s="11"/>
      <c r="T727" s="9"/>
      <c r="U727" s="11"/>
      <c r="V727" s="9"/>
      <c r="W727" s="11"/>
      <c r="X727" s="9"/>
      <c r="Y727" s="11"/>
      <c r="Z727" s="11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ht="12.75" customHeight="1">
      <c r="A728" s="9"/>
      <c r="B728" s="9"/>
      <c r="C728" s="10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9"/>
      <c r="S728" s="11"/>
      <c r="T728" s="9"/>
      <c r="U728" s="11"/>
      <c r="V728" s="9"/>
      <c r="W728" s="11"/>
      <c r="X728" s="9"/>
      <c r="Y728" s="11"/>
      <c r="Z728" s="11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ht="12.75" customHeight="1">
      <c r="A729" s="9"/>
      <c r="B729" s="9"/>
      <c r="C729" s="10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9"/>
      <c r="S729" s="11"/>
      <c r="T729" s="9"/>
      <c r="U729" s="11"/>
      <c r="V729" s="9"/>
      <c r="W729" s="11"/>
      <c r="X729" s="9"/>
      <c r="Y729" s="11"/>
      <c r="Z729" s="11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ht="12.75" customHeight="1">
      <c r="A730" s="9"/>
      <c r="B730" s="9"/>
      <c r="C730" s="10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9"/>
      <c r="S730" s="11"/>
      <c r="T730" s="9"/>
      <c r="U730" s="11"/>
      <c r="V730" s="9"/>
      <c r="W730" s="11"/>
      <c r="X730" s="9"/>
      <c r="Y730" s="11"/>
      <c r="Z730" s="11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ht="12.75" customHeight="1">
      <c r="A731" s="9"/>
      <c r="B731" s="9"/>
      <c r="C731" s="10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9"/>
      <c r="S731" s="11"/>
      <c r="T731" s="9"/>
      <c r="U731" s="11"/>
      <c r="V731" s="9"/>
      <c r="W731" s="11"/>
      <c r="X731" s="9"/>
      <c r="Y731" s="11"/>
      <c r="Z731" s="11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ht="12.75" customHeight="1">
      <c r="A732" s="9"/>
      <c r="B732" s="9"/>
      <c r="C732" s="10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9"/>
      <c r="S732" s="11"/>
      <c r="T732" s="9"/>
      <c r="U732" s="11"/>
      <c r="V732" s="9"/>
      <c r="W732" s="11"/>
      <c r="X732" s="9"/>
      <c r="Y732" s="11"/>
      <c r="Z732" s="11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ht="12.75" customHeight="1">
      <c r="A733" s="9"/>
      <c r="B733" s="9"/>
      <c r="C733" s="10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9"/>
      <c r="S733" s="11"/>
      <c r="T733" s="9"/>
      <c r="U733" s="11"/>
      <c r="V733" s="9"/>
      <c r="W733" s="11"/>
      <c r="X733" s="9"/>
      <c r="Y733" s="11"/>
      <c r="Z733" s="11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ht="12.75" customHeight="1">
      <c r="A734" s="9"/>
      <c r="B734" s="9"/>
      <c r="C734" s="10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9"/>
      <c r="S734" s="11"/>
      <c r="T734" s="9"/>
      <c r="U734" s="11"/>
      <c r="V734" s="9"/>
      <c r="W734" s="11"/>
      <c r="X734" s="9"/>
      <c r="Y734" s="11"/>
      <c r="Z734" s="11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ht="12.75" customHeight="1">
      <c r="A735" s="9"/>
      <c r="B735" s="9"/>
      <c r="C735" s="10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9"/>
      <c r="S735" s="11"/>
      <c r="T735" s="9"/>
      <c r="U735" s="11"/>
      <c r="V735" s="9"/>
      <c r="W735" s="11"/>
      <c r="X735" s="9"/>
      <c r="Y735" s="11"/>
      <c r="Z735" s="11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ht="12.75" customHeight="1">
      <c r="A736" s="9"/>
      <c r="B736" s="9"/>
      <c r="C736" s="10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9"/>
      <c r="S736" s="11"/>
      <c r="T736" s="9"/>
      <c r="U736" s="11"/>
      <c r="V736" s="9"/>
      <c r="W736" s="11"/>
      <c r="X736" s="9"/>
      <c r="Y736" s="11"/>
      <c r="Z736" s="11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ht="12.75" customHeight="1">
      <c r="A737" s="9"/>
      <c r="B737" s="9"/>
      <c r="C737" s="10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9"/>
      <c r="S737" s="11"/>
      <c r="T737" s="9"/>
      <c r="U737" s="11"/>
      <c r="V737" s="9"/>
      <c r="W737" s="11"/>
      <c r="X737" s="9"/>
      <c r="Y737" s="11"/>
      <c r="Z737" s="11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ht="12.75" customHeight="1">
      <c r="A738" s="9"/>
      <c r="B738" s="9"/>
      <c r="C738" s="10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9"/>
      <c r="S738" s="11"/>
      <c r="T738" s="9"/>
      <c r="U738" s="11"/>
      <c r="V738" s="9"/>
      <c r="W738" s="11"/>
      <c r="X738" s="9"/>
      <c r="Y738" s="11"/>
      <c r="Z738" s="11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ht="12.75" customHeight="1">
      <c r="A739" s="9"/>
      <c r="B739" s="9"/>
      <c r="C739" s="10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9"/>
      <c r="S739" s="11"/>
      <c r="T739" s="9"/>
      <c r="U739" s="11"/>
      <c r="V739" s="9"/>
      <c r="W739" s="11"/>
      <c r="X739" s="9"/>
      <c r="Y739" s="11"/>
      <c r="Z739" s="11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ht="12.75" customHeight="1">
      <c r="A740" s="9"/>
      <c r="B740" s="9"/>
      <c r="C740" s="10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9"/>
      <c r="S740" s="11"/>
      <c r="T740" s="9"/>
      <c r="U740" s="11"/>
      <c r="V740" s="9"/>
      <c r="W740" s="11"/>
      <c r="X740" s="9"/>
      <c r="Y740" s="11"/>
      <c r="Z740" s="11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ht="12.75" customHeight="1">
      <c r="A741" s="9"/>
      <c r="B741" s="9"/>
      <c r="C741" s="10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9"/>
      <c r="S741" s="11"/>
      <c r="T741" s="9"/>
      <c r="U741" s="11"/>
      <c r="V741" s="9"/>
      <c r="W741" s="11"/>
      <c r="X741" s="9"/>
      <c r="Y741" s="11"/>
      <c r="Z741" s="11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ht="12.75" customHeight="1">
      <c r="A742" s="9"/>
      <c r="B742" s="9"/>
      <c r="C742" s="10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9"/>
      <c r="S742" s="11"/>
      <c r="T742" s="9"/>
      <c r="U742" s="11"/>
      <c r="V742" s="9"/>
      <c r="W742" s="11"/>
      <c r="X742" s="9"/>
      <c r="Y742" s="11"/>
      <c r="Z742" s="11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ht="12.75" customHeight="1">
      <c r="A743" s="9"/>
      <c r="B743" s="9"/>
      <c r="C743" s="10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9"/>
      <c r="S743" s="11"/>
      <c r="T743" s="9"/>
      <c r="U743" s="11"/>
      <c r="V743" s="9"/>
      <c r="W743" s="11"/>
      <c r="X743" s="9"/>
      <c r="Y743" s="11"/>
      <c r="Z743" s="11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ht="12.75" customHeight="1">
      <c r="A744" s="9"/>
      <c r="B744" s="9"/>
      <c r="C744" s="10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9"/>
      <c r="S744" s="11"/>
      <c r="T744" s="9"/>
      <c r="U744" s="11"/>
      <c r="V744" s="9"/>
      <c r="W744" s="11"/>
      <c r="X744" s="9"/>
      <c r="Y744" s="11"/>
      <c r="Z744" s="11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ht="12.75" customHeight="1">
      <c r="A745" s="9"/>
      <c r="B745" s="9"/>
      <c r="C745" s="10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9"/>
      <c r="S745" s="11"/>
      <c r="T745" s="9"/>
      <c r="U745" s="11"/>
      <c r="V745" s="9"/>
      <c r="W745" s="11"/>
      <c r="X745" s="9"/>
      <c r="Y745" s="11"/>
      <c r="Z745" s="11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ht="12.75" customHeight="1">
      <c r="A746" s="9"/>
      <c r="B746" s="9"/>
      <c r="C746" s="10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9"/>
      <c r="S746" s="11"/>
      <c r="T746" s="9"/>
      <c r="U746" s="11"/>
      <c r="V746" s="9"/>
      <c r="W746" s="11"/>
      <c r="X746" s="9"/>
      <c r="Y746" s="11"/>
      <c r="Z746" s="11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ht="12.75" customHeight="1">
      <c r="A747" s="9"/>
      <c r="B747" s="9"/>
      <c r="C747" s="10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9"/>
      <c r="S747" s="11"/>
      <c r="T747" s="9"/>
      <c r="U747" s="11"/>
      <c r="V747" s="9"/>
      <c r="W747" s="11"/>
      <c r="X747" s="9"/>
      <c r="Y747" s="11"/>
      <c r="Z747" s="11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ht="12.75" customHeight="1">
      <c r="A748" s="9"/>
      <c r="B748" s="9"/>
      <c r="C748" s="10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9"/>
      <c r="S748" s="11"/>
      <c r="T748" s="9"/>
      <c r="U748" s="11"/>
      <c r="V748" s="9"/>
      <c r="W748" s="11"/>
      <c r="X748" s="9"/>
      <c r="Y748" s="11"/>
      <c r="Z748" s="11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ht="12.75" customHeight="1">
      <c r="A749" s="9"/>
      <c r="B749" s="9"/>
      <c r="C749" s="10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9"/>
      <c r="S749" s="11"/>
      <c r="T749" s="9"/>
      <c r="U749" s="11"/>
      <c r="V749" s="9"/>
      <c r="W749" s="11"/>
      <c r="X749" s="9"/>
      <c r="Y749" s="11"/>
      <c r="Z749" s="11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ht="12.75" customHeight="1">
      <c r="A750" s="9"/>
      <c r="B750" s="9"/>
      <c r="C750" s="10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9"/>
      <c r="S750" s="11"/>
      <c r="T750" s="9"/>
      <c r="U750" s="11"/>
      <c r="V750" s="9"/>
      <c r="W750" s="11"/>
      <c r="X750" s="9"/>
      <c r="Y750" s="11"/>
      <c r="Z750" s="11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ht="12.75" customHeight="1">
      <c r="A751" s="9"/>
      <c r="B751" s="9"/>
      <c r="C751" s="10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9"/>
      <c r="S751" s="11"/>
      <c r="T751" s="9"/>
      <c r="U751" s="11"/>
      <c r="V751" s="9"/>
      <c r="W751" s="11"/>
      <c r="X751" s="9"/>
      <c r="Y751" s="11"/>
      <c r="Z751" s="11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ht="12.75" customHeight="1">
      <c r="A752" s="9"/>
      <c r="B752" s="9"/>
      <c r="C752" s="10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9"/>
      <c r="S752" s="11"/>
      <c r="T752" s="9"/>
      <c r="U752" s="11"/>
      <c r="V752" s="9"/>
      <c r="W752" s="11"/>
      <c r="X752" s="9"/>
      <c r="Y752" s="11"/>
      <c r="Z752" s="11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ht="12.75" customHeight="1">
      <c r="A753" s="9"/>
      <c r="B753" s="9"/>
      <c r="C753" s="10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9"/>
      <c r="S753" s="11"/>
      <c r="T753" s="9"/>
      <c r="U753" s="11"/>
      <c r="V753" s="9"/>
      <c r="W753" s="11"/>
      <c r="X753" s="9"/>
      <c r="Y753" s="11"/>
      <c r="Z753" s="11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ht="12.75" customHeight="1">
      <c r="A754" s="9"/>
      <c r="B754" s="9"/>
      <c r="C754" s="10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9"/>
      <c r="S754" s="11"/>
      <c r="T754" s="9"/>
      <c r="U754" s="11"/>
      <c r="V754" s="9"/>
      <c r="W754" s="11"/>
      <c r="X754" s="9"/>
      <c r="Y754" s="11"/>
      <c r="Z754" s="11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ht="12.75" customHeight="1">
      <c r="A755" s="9"/>
      <c r="B755" s="9"/>
      <c r="C755" s="10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9"/>
      <c r="S755" s="11"/>
      <c r="T755" s="9"/>
      <c r="U755" s="11"/>
      <c r="V755" s="9"/>
      <c r="W755" s="11"/>
      <c r="X755" s="9"/>
      <c r="Y755" s="11"/>
      <c r="Z755" s="11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ht="12.75" customHeight="1">
      <c r="A756" s="9"/>
      <c r="B756" s="9"/>
      <c r="C756" s="10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9"/>
      <c r="S756" s="11"/>
      <c r="T756" s="9"/>
      <c r="U756" s="11"/>
      <c r="V756" s="9"/>
      <c r="W756" s="11"/>
      <c r="X756" s="9"/>
      <c r="Y756" s="11"/>
      <c r="Z756" s="11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ht="12.75" customHeight="1">
      <c r="A757" s="9"/>
      <c r="B757" s="9"/>
      <c r="C757" s="10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9"/>
      <c r="S757" s="11"/>
      <c r="T757" s="9"/>
      <c r="U757" s="11"/>
      <c r="V757" s="9"/>
      <c r="W757" s="11"/>
      <c r="X757" s="9"/>
      <c r="Y757" s="11"/>
      <c r="Z757" s="11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ht="12.75" customHeight="1">
      <c r="A758" s="9"/>
      <c r="B758" s="9"/>
      <c r="C758" s="10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9"/>
      <c r="S758" s="11"/>
      <c r="T758" s="9"/>
      <c r="U758" s="11"/>
      <c r="V758" s="9"/>
      <c r="W758" s="11"/>
      <c r="X758" s="9"/>
      <c r="Y758" s="11"/>
      <c r="Z758" s="11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ht="12.75" customHeight="1">
      <c r="A759" s="9"/>
      <c r="B759" s="9"/>
      <c r="C759" s="10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9"/>
      <c r="S759" s="11"/>
      <c r="T759" s="9"/>
      <c r="U759" s="11"/>
      <c r="V759" s="9"/>
      <c r="W759" s="11"/>
      <c r="X759" s="9"/>
      <c r="Y759" s="11"/>
      <c r="Z759" s="11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ht="12.75" customHeight="1">
      <c r="A760" s="9"/>
      <c r="B760" s="9"/>
      <c r="C760" s="10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9"/>
      <c r="S760" s="11"/>
      <c r="T760" s="9"/>
      <c r="U760" s="11"/>
      <c r="V760" s="9"/>
      <c r="W760" s="11"/>
      <c r="X760" s="9"/>
      <c r="Y760" s="11"/>
      <c r="Z760" s="11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ht="12.75" customHeight="1">
      <c r="A761" s="9"/>
      <c r="B761" s="9"/>
      <c r="C761" s="10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9"/>
      <c r="S761" s="11"/>
      <c r="T761" s="9"/>
      <c r="U761" s="11"/>
      <c r="V761" s="9"/>
      <c r="W761" s="11"/>
      <c r="X761" s="9"/>
      <c r="Y761" s="11"/>
      <c r="Z761" s="11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ht="12.75" customHeight="1">
      <c r="A762" s="9"/>
      <c r="B762" s="9"/>
      <c r="C762" s="10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9"/>
      <c r="S762" s="11"/>
      <c r="T762" s="9"/>
      <c r="U762" s="11"/>
      <c r="V762" s="9"/>
      <c r="W762" s="11"/>
      <c r="X762" s="9"/>
      <c r="Y762" s="11"/>
      <c r="Z762" s="11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ht="12.75" customHeight="1">
      <c r="A763" s="9"/>
      <c r="B763" s="9"/>
      <c r="C763" s="10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9"/>
      <c r="S763" s="11"/>
      <c r="T763" s="9"/>
      <c r="U763" s="11"/>
      <c r="V763" s="9"/>
      <c r="W763" s="11"/>
      <c r="X763" s="9"/>
      <c r="Y763" s="11"/>
      <c r="Z763" s="11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ht="12.75" customHeight="1">
      <c r="A764" s="9"/>
      <c r="B764" s="9"/>
      <c r="C764" s="10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9"/>
      <c r="S764" s="11"/>
      <c r="T764" s="9"/>
      <c r="U764" s="11"/>
      <c r="V764" s="9"/>
      <c r="W764" s="11"/>
      <c r="X764" s="9"/>
      <c r="Y764" s="11"/>
      <c r="Z764" s="11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ht="12.75" customHeight="1">
      <c r="A765" s="9"/>
      <c r="B765" s="9"/>
      <c r="C765" s="10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9"/>
      <c r="S765" s="11"/>
      <c r="T765" s="9"/>
      <c r="U765" s="11"/>
      <c r="V765" s="9"/>
      <c r="W765" s="11"/>
      <c r="X765" s="9"/>
      <c r="Y765" s="11"/>
      <c r="Z765" s="11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ht="12.75" customHeight="1">
      <c r="A766" s="9"/>
      <c r="B766" s="9"/>
      <c r="C766" s="10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9"/>
      <c r="S766" s="11"/>
      <c r="T766" s="9"/>
      <c r="U766" s="11"/>
      <c r="V766" s="9"/>
      <c r="W766" s="11"/>
      <c r="X766" s="9"/>
      <c r="Y766" s="11"/>
      <c r="Z766" s="11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ht="12.75" customHeight="1">
      <c r="A767" s="9"/>
      <c r="B767" s="9"/>
      <c r="C767" s="10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9"/>
      <c r="S767" s="11"/>
      <c r="T767" s="9"/>
      <c r="U767" s="11"/>
      <c r="V767" s="9"/>
      <c r="W767" s="11"/>
      <c r="X767" s="9"/>
      <c r="Y767" s="11"/>
      <c r="Z767" s="11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ht="12.75" customHeight="1">
      <c r="A768" s="9"/>
      <c r="B768" s="9"/>
      <c r="C768" s="10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9"/>
      <c r="S768" s="11"/>
      <c r="T768" s="9"/>
      <c r="U768" s="11"/>
      <c r="V768" s="9"/>
      <c r="W768" s="11"/>
      <c r="X768" s="9"/>
      <c r="Y768" s="11"/>
      <c r="Z768" s="11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ht="12.75" customHeight="1">
      <c r="A769" s="9"/>
      <c r="B769" s="9"/>
      <c r="C769" s="10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9"/>
      <c r="S769" s="11"/>
      <c r="T769" s="9"/>
      <c r="U769" s="11"/>
      <c r="V769" s="9"/>
      <c r="W769" s="11"/>
      <c r="X769" s="9"/>
      <c r="Y769" s="11"/>
      <c r="Z769" s="11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ht="12.75" customHeight="1">
      <c r="A770" s="9"/>
      <c r="B770" s="9"/>
      <c r="C770" s="10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9"/>
      <c r="S770" s="11"/>
      <c r="T770" s="9"/>
      <c r="U770" s="11"/>
      <c r="V770" s="9"/>
      <c r="W770" s="11"/>
      <c r="X770" s="9"/>
      <c r="Y770" s="11"/>
      <c r="Z770" s="11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ht="12.75" customHeight="1">
      <c r="A771" s="9"/>
      <c r="B771" s="9"/>
      <c r="C771" s="10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9"/>
      <c r="S771" s="11"/>
      <c r="T771" s="9"/>
      <c r="U771" s="11"/>
      <c r="V771" s="9"/>
      <c r="W771" s="11"/>
      <c r="X771" s="9"/>
      <c r="Y771" s="11"/>
      <c r="Z771" s="11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ht="12.75" customHeight="1">
      <c r="A772" s="9"/>
      <c r="B772" s="9"/>
      <c r="C772" s="10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9"/>
      <c r="S772" s="11"/>
      <c r="T772" s="9"/>
      <c r="U772" s="11"/>
      <c r="V772" s="9"/>
      <c r="W772" s="11"/>
      <c r="X772" s="9"/>
      <c r="Y772" s="11"/>
      <c r="Z772" s="11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ht="12.75" customHeight="1">
      <c r="A773" s="9"/>
      <c r="B773" s="9"/>
      <c r="C773" s="10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9"/>
      <c r="S773" s="11"/>
      <c r="T773" s="9"/>
      <c r="U773" s="11"/>
      <c r="V773" s="9"/>
      <c r="W773" s="11"/>
      <c r="X773" s="9"/>
      <c r="Y773" s="11"/>
      <c r="Z773" s="11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ht="12.75" customHeight="1">
      <c r="A774" s="9"/>
      <c r="B774" s="9"/>
      <c r="C774" s="10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9"/>
      <c r="S774" s="11"/>
      <c r="T774" s="9"/>
      <c r="U774" s="11"/>
      <c r="V774" s="9"/>
      <c r="W774" s="11"/>
      <c r="X774" s="9"/>
      <c r="Y774" s="11"/>
      <c r="Z774" s="11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ht="12.75" customHeight="1">
      <c r="A775" s="9"/>
      <c r="B775" s="9"/>
      <c r="C775" s="10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9"/>
      <c r="S775" s="11"/>
      <c r="T775" s="9"/>
      <c r="U775" s="11"/>
      <c r="V775" s="9"/>
      <c r="W775" s="11"/>
      <c r="X775" s="9"/>
      <c r="Y775" s="11"/>
      <c r="Z775" s="11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ht="12.75" customHeight="1">
      <c r="A776" s="9"/>
      <c r="B776" s="9"/>
      <c r="C776" s="10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9"/>
      <c r="S776" s="11"/>
      <c r="T776" s="9"/>
      <c r="U776" s="11"/>
      <c r="V776" s="9"/>
      <c r="W776" s="11"/>
      <c r="X776" s="9"/>
      <c r="Y776" s="11"/>
      <c r="Z776" s="11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ht="12.75" customHeight="1">
      <c r="A777" s="9"/>
      <c r="B777" s="9"/>
      <c r="C777" s="10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9"/>
      <c r="S777" s="11"/>
      <c r="T777" s="9"/>
      <c r="U777" s="11"/>
      <c r="V777" s="9"/>
      <c r="W777" s="11"/>
      <c r="X777" s="9"/>
      <c r="Y777" s="11"/>
      <c r="Z777" s="11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ht="12.75" customHeight="1">
      <c r="A778" s="9"/>
      <c r="B778" s="9"/>
      <c r="C778" s="10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9"/>
      <c r="S778" s="11"/>
      <c r="T778" s="9"/>
      <c r="U778" s="11"/>
      <c r="V778" s="9"/>
      <c r="W778" s="11"/>
      <c r="X778" s="9"/>
      <c r="Y778" s="11"/>
      <c r="Z778" s="11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ht="12.75" customHeight="1">
      <c r="A779" s="9"/>
      <c r="B779" s="9"/>
      <c r="C779" s="10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9"/>
      <c r="S779" s="11"/>
      <c r="T779" s="9"/>
      <c r="U779" s="11"/>
      <c r="V779" s="9"/>
      <c r="W779" s="11"/>
      <c r="X779" s="9"/>
      <c r="Y779" s="11"/>
      <c r="Z779" s="11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ht="12.75" customHeight="1">
      <c r="A780" s="9"/>
      <c r="B780" s="9"/>
      <c r="C780" s="10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9"/>
      <c r="S780" s="11"/>
      <c r="T780" s="9"/>
      <c r="U780" s="11"/>
      <c r="V780" s="9"/>
      <c r="W780" s="11"/>
      <c r="X780" s="9"/>
      <c r="Y780" s="11"/>
      <c r="Z780" s="11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ht="12.75" customHeight="1">
      <c r="A781" s="9"/>
      <c r="B781" s="9"/>
      <c r="C781" s="10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9"/>
      <c r="S781" s="11"/>
      <c r="T781" s="9"/>
      <c r="U781" s="11"/>
      <c r="V781" s="9"/>
      <c r="W781" s="11"/>
      <c r="X781" s="9"/>
      <c r="Y781" s="11"/>
      <c r="Z781" s="11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ht="12.75" customHeight="1">
      <c r="A782" s="9"/>
      <c r="B782" s="9"/>
      <c r="C782" s="10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9"/>
      <c r="S782" s="11"/>
      <c r="T782" s="9"/>
      <c r="U782" s="11"/>
      <c r="V782" s="9"/>
      <c r="W782" s="11"/>
      <c r="X782" s="9"/>
      <c r="Y782" s="11"/>
      <c r="Z782" s="11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ht="12.75" customHeight="1">
      <c r="A783" s="9"/>
      <c r="B783" s="9"/>
      <c r="C783" s="10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9"/>
      <c r="S783" s="11"/>
      <c r="T783" s="9"/>
      <c r="U783" s="11"/>
      <c r="V783" s="9"/>
      <c r="W783" s="11"/>
      <c r="X783" s="9"/>
      <c r="Y783" s="11"/>
      <c r="Z783" s="11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ht="12.75" customHeight="1">
      <c r="A784" s="9"/>
      <c r="B784" s="9"/>
      <c r="C784" s="10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9"/>
      <c r="S784" s="11"/>
      <c r="T784" s="9"/>
      <c r="U784" s="11"/>
      <c r="V784" s="9"/>
      <c r="W784" s="11"/>
      <c r="X784" s="9"/>
      <c r="Y784" s="11"/>
      <c r="Z784" s="11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ht="12.75" customHeight="1">
      <c r="A785" s="9"/>
      <c r="B785" s="9"/>
      <c r="C785" s="10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9"/>
      <c r="S785" s="11"/>
      <c r="T785" s="9"/>
      <c r="U785" s="11"/>
      <c r="V785" s="9"/>
      <c r="W785" s="11"/>
      <c r="X785" s="9"/>
      <c r="Y785" s="11"/>
      <c r="Z785" s="11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ht="12.75" customHeight="1">
      <c r="A786" s="9"/>
      <c r="B786" s="9"/>
      <c r="C786" s="10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9"/>
      <c r="S786" s="11"/>
      <c r="T786" s="9"/>
      <c r="U786" s="11"/>
      <c r="V786" s="9"/>
      <c r="W786" s="11"/>
      <c r="X786" s="9"/>
      <c r="Y786" s="11"/>
      <c r="Z786" s="11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ht="12.75" customHeight="1">
      <c r="A787" s="9"/>
      <c r="B787" s="9"/>
      <c r="C787" s="10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9"/>
      <c r="S787" s="11"/>
      <c r="T787" s="9"/>
      <c r="U787" s="11"/>
      <c r="V787" s="9"/>
      <c r="W787" s="11"/>
      <c r="X787" s="9"/>
      <c r="Y787" s="11"/>
      <c r="Z787" s="11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ht="12.75" customHeight="1">
      <c r="A788" s="9"/>
      <c r="B788" s="9"/>
      <c r="C788" s="10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9"/>
      <c r="S788" s="11"/>
      <c r="T788" s="9"/>
      <c r="U788" s="11"/>
      <c r="V788" s="9"/>
      <c r="W788" s="11"/>
      <c r="X788" s="9"/>
      <c r="Y788" s="11"/>
      <c r="Z788" s="11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ht="12.75" customHeight="1">
      <c r="A789" s="9"/>
      <c r="B789" s="9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9"/>
      <c r="S789" s="11"/>
      <c r="T789" s="9"/>
      <c r="U789" s="11"/>
      <c r="V789" s="9"/>
      <c r="W789" s="11"/>
      <c r="X789" s="9"/>
      <c r="Y789" s="11"/>
      <c r="Z789" s="11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ht="12.75" customHeight="1">
      <c r="A790" s="9"/>
      <c r="B790" s="9"/>
      <c r="C790" s="10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9"/>
      <c r="S790" s="11"/>
      <c r="T790" s="9"/>
      <c r="U790" s="11"/>
      <c r="V790" s="9"/>
      <c r="W790" s="11"/>
      <c r="X790" s="9"/>
      <c r="Y790" s="11"/>
      <c r="Z790" s="11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ht="12.75" customHeight="1">
      <c r="A791" s="9"/>
      <c r="B791" s="9"/>
      <c r="C791" s="10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9"/>
      <c r="S791" s="11"/>
      <c r="T791" s="9"/>
      <c r="U791" s="11"/>
      <c r="V791" s="9"/>
      <c r="W791" s="11"/>
      <c r="X791" s="9"/>
      <c r="Y791" s="11"/>
      <c r="Z791" s="11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ht="12.75" customHeight="1">
      <c r="A792" s="9"/>
      <c r="B792" s="9"/>
      <c r="C792" s="10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9"/>
      <c r="S792" s="11"/>
      <c r="T792" s="9"/>
      <c r="U792" s="11"/>
      <c r="V792" s="9"/>
      <c r="W792" s="11"/>
      <c r="X792" s="9"/>
      <c r="Y792" s="11"/>
      <c r="Z792" s="11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ht="12.75" customHeight="1">
      <c r="A793" s="9"/>
      <c r="B793" s="9"/>
      <c r="C793" s="10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9"/>
      <c r="S793" s="11"/>
      <c r="T793" s="9"/>
      <c r="U793" s="11"/>
      <c r="V793" s="9"/>
      <c r="W793" s="11"/>
      <c r="X793" s="9"/>
      <c r="Y793" s="11"/>
      <c r="Z793" s="11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ht="12.75" customHeight="1">
      <c r="A794" s="9"/>
      <c r="B794" s="9"/>
      <c r="C794" s="10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9"/>
      <c r="S794" s="11"/>
      <c r="T794" s="9"/>
      <c r="U794" s="11"/>
      <c r="V794" s="9"/>
      <c r="W794" s="11"/>
      <c r="X794" s="9"/>
      <c r="Y794" s="11"/>
      <c r="Z794" s="11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ht="12.75" customHeight="1">
      <c r="A795" s="9"/>
      <c r="B795" s="9"/>
      <c r="C795" s="10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9"/>
      <c r="S795" s="11"/>
      <c r="T795" s="9"/>
      <c r="U795" s="11"/>
      <c r="V795" s="9"/>
      <c r="W795" s="11"/>
      <c r="X795" s="9"/>
      <c r="Y795" s="11"/>
      <c r="Z795" s="11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ht="12.75" customHeight="1">
      <c r="A796" s="9"/>
      <c r="B796" s="9"/>
      <c r="C796" s="10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9"/>
      <c r="S796" s="11"/>
      <c r="T796" s="9"/>
      <c r="U796" s="11"/>
      <c r="V796" s="9"/>
      <c r="W796" s="11"/>
      <c r="X796" s="9"/>
      <c r="Y796" s="11"/>
      <c r="Z796" s="11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ht="12.75" customHeight="1">
      <c r="A797" s="9"/>
      <c r="B797" s="9"/>
      <c r="C797" s="10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9"/>
      <c r="S797" s="11"/>
      <c r="T797" s="9"/>
      <c r="U797" s="11"/>
      <c r="V797" s="9"/>
      <c r="W797" s="11"/>
      <c r="X797" s="9"/>
      <c r="Y797" s="11"/>
      <c r="Z797" s="11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ht="12.75" customHeight="1">
      <c r="A798" s="9"/>
      <c r="B798" s="9"/>
      <c r="C798" s="10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9"/>
      <c r="S798" s="11"/>
      <c r="T798" s="9"/>
      <c r="U798" s="11"/>
      <c r="V798" s="9"/>
      <c r="W798" s="11"/>
      <c r="X798" s="9"/>
      <c r="Y798" s="11"/>
      <c r="Z798" s="11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ht="12.75" customHeight="1">
      <c r="A799" s="9"/>
      <c r="B799" s="9"/>
      <c r="C799" s="10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9"/>
      <c r="S799" s="11"/>
      <c r="T799" s="9"/>
      <c r="U799" s="11"/>
      <c r="V799" s="9"/>
      <c r="W799" s="11"/>
      <c r="X799" s="9"/>
      <c r="Y799" s="11"/>
      <c r="Z799" s="11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ht="12.75" customHeight="1">
      <c r="A800" s="9"/>
      <c r="B800" s="9"/>
      <c r="C800" s="10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9"/>
      <c r="S800" s="11"/>
      <c r="T800" s="9"/>
      <c r="U800" s="11"/>
      <c r="V800" s="9"/>
      <c r="W800" s="11"/>
      <c r="X800" s="9"/>
      <c r="Y800" s="11"/>
      <c r="Z800" s="11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ht="12.75" customHeight="1">
      <c r="A801" s="9"/>
      <c r="B801" s="9"/>
      <c r="C801" s="10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9"/>
      <c r="S801" s="11"/>
      <c r="T801" s="9"/>
      <c r="U801" s="11"/>
      <c r="V801" s="9"/>
      <c r="W801" s="11"/>
      <c r="X801" s="9"/>
      <c r="Y801" s="11"/>
      <c r="Z801" s="11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ht="12.75" customHeight="1">
      <c r="A802" s="9"/>
      <c r="B802" s="9"/>
      <c r="C802" s="10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9"/>
      <c r="S802" s="11"/>
      <c r="T802" s="9"/>
      <c r="U802" s="11"/>
      <c r="V802" s="9"/>
      <c r="W802" s="11"/>
      <c r="X802" s="9"/>
      <c r="Y802" s="11"/>
      <c r="Z802" s="11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ht="12.75" customHeight="1">
      <c r="A803" s="9"/>
      <c r="B803" s="9"/>
      <c r="C803" s="10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9"/>
      <c r="S803" s="11"/>
      <c r="T803" s="9"/>
      <c r="U803" s="11"/>
      <c r="V803" s="9"/>
      <c r="W803" s="11"/>
      <c r="X803" s="9"/>
      <c r="Y803" s="11"/>
      <c r="Z803" s="11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ht="12.75" customHeight="1">
      <c r="A804" s="9"/>
      <c r="B804" s="9"/>
      <c r="C804" s="10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9"/>
      <c r="S804" s="11"/>
      <c r="T804" s="9"/>
      <c r="U804" s="11"/>
      <c r="V804" s="9"/>
      <c r="W804" s="11"/>
      <c r="X804" s="9"/>
      <c r="Y804" s="11"/>
      <c r="Z804" s="11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ht="12.75" customHeight="1">
      <c r="A805" s="9"/>
      <c r="B805" s="9"/>
      <c r="C805" s="10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9"/>
      <c r="S805" s="11"/>
      <c r="T805" s="9"/>
      <c r="U805" s="11"/>
      <c r="V805" s="9"/>
      <c r="W805" s="11"/>
      <c r="X805" s="9"/>
      <c r="Y805" s="11"/>
      <c r="Z805" s="11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ht="12.75" customHeight="1">
      <c r="A806" s="9"/>
      <c r="B806" s="9"/>
      <c r="C806" s="10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9"/>
      <c r="S806" s="11"/>
      <c r="T806" s="9"/>
      <c r="U806" s="11"/>
      <c r="V806" s="9"/>
      <c r="W806" s="11"/>
      <c r="X806" s="9"/>
      <c r="Y806" s="11"/>
      <c r="Z806" s="11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ht="12.75" customHeight="1">
      <c r="A807" s="9"/>
      <c r="B807" s="9"/>
      <c r="C807" s="10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9"/>
      <c r="S807" s="11"/>
      <c r="T807" s="9"/>
      <c r="U807" s="11"/>
      <c r="V807" s="9"/>
      <c r="W807" s="11"/>
      <c r="X807" s="9"/>
      <c r="Y807" s="11"/>
      <c r="Z807" s="11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ht="12.75" customHeight="1">
      <c r="A808" s="9"/>
      <c r="B808" s="9"/>
      <c r="C808" s="10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9"/>
      <c r="S808" s="11"/>
      <c r="T808" s="9"/>
      <c r="U808" s="11"/>
      <c r="V808" s="9"/>
      <c r="W808" s="11"/>
      <c r="X808" s="9"/>
      <c r="Y808" s="11"/>
      <c r="Z808" s="11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ht="12.75" customHeight="1">
      <c r="A809" s="9"/>
      <c r="B809" s="9"/>
      <c r="C809" s="10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9"/>
      <c r="S809" s="11"/>
      <c r="T809" s="9"/>
      <c r="U809" s="11"/>
      <c r="V809" s="9"/>
      <c r="W809" s="11"/>
      <c r="X809" s="9"/>
      <c r="Y809" s="11"/>
      <c r="Z809" s="11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ht="12.75" customHeight="1">
      <c r="A810" s="9"/>
      <c r="B810" s="9"/>
      <c r="C810" s="10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9"/>
      <c r="S810" s="11"/>
      <c r="T810" s="9"/>
      <c r="U810" s="11"/>
      <c r="V810" s="9"/>
      <c r="W810" s="11"/>
      <c r="X810" s="9"/>
      <c r="Y810" s="11"/>
      <c r="Z810" s="11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ht="12.75" customHeight="1">
      <c r="A811" s="9"/>
      <c r="B811" s="9"/>
      <c r="C811" s="10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9"/>
      <c r="S811" s="11"/>
      <c r="T811" s="9"/>
      <c r="U811" s="11"/>
      <c r="V811" s="9"/>
      <c r="W811" s="11"/>
      <c r="X811" s="9"/>
      <c r="Y811" s="11"/>
      <c r="Z811" s="11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ht="12.75" customHeight="1">
      <c r="A812" s="9"/>
      <c r="B812" s="9"/>
      <c r="C812" s="10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9"/>
      <c r="S812" s="11"/>
      <c r="T812" s="9"/>
      <c r="U812" s="11"/>
      <c r="V812" s="9"/>
      <c r="W812" s="11"/>
      <c r="X812" s="9"/>
      <c r="Y812" s="11"/>
      <c r="Z812" s="11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ht="12.75" customHeight="1">
      <c r="A813" s="9"/>
      <c r="B813" s="9"/>
      <c r="C813" s="10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9"/>
      <c r="S813" s="11"/>
      <c r="T813" s="9"/>
      <c r="U813" s="11"/>
      <c r="V813" s="9"/>
      <c r="W813" s="11"/>
      <c r="X813" s="9"/>
      <c r="Y813" s="11"/>
      <c r="Z813" s="11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ht="12.75" customHeight="1">
      <c r="A814" s="9"/>
      <c r="B814" s="9"/>
      <c r="C814" s="10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9"/>
      <c r="S814" s="11"/>
      <c r="T814" s="9"/>
      <c r="U814" s="11"/>
      <c r="V814" s="9"/>
      <c r="W814" s="11"/>
      <c r="X814" s="9"/>
      <c r="Y814" s="11"/>
      <c r="Z814" s="11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ht="12.75" customHeight="1">
      <c r="A815" s="9"/>
      <c r="B815" s="9"/>
      <c r="C815" s="10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9"/>
      <c r="S815" s="11"/>
      <c r="T815" s="9"/>
      <c r="U815" s="11"/>
      <c r="V815" s="9"/>
      <c r="W815" s="11"/>
      <c r="X815" s="9"/>
      <c r="Y815" s="11"/>
      <c r="Z815" s="11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ht="12.75" customHeight="1">
      <c r="A816" s="9"/>
      <c r="B816" s="9"/>
      <c r="C816" s="10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9"/>
      <c r="S816" s="11"/>
      <c r="T816" s="9"/>
      <c r="U816" s="11"/>
      <c r="V816" s="9"/>
      <c r="W816" s="11"/>
      <c r="X816" s="9"/>
      <c r="Y816" s="11"/>
      <c r="Z816" s="11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ht="12.75" customHeight="1">
      <c r="A817" s="9"/>
      <c r="B817" s="9"/>
      <c r="C817" s="10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9"/>
      <c r="S817" s="11"/>
      <c r="T817" s="9"/>
      <c r="U817" s="11"/>
      <c r="V817" s="9"/>
      <c r="W817" s="11"/>
      <c r="X817" s="9"/>
      <c r="Y817" s="11"/>
      <c r="Z817" s="11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ht="12.75" customHeight="1">
      <c r="A818" s="9"/>
      <c r="B818" s="9"/>
      <c r="C818" s="10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9"/>
      <c r="S818" s="11"/>
      <c r="T818" s="9"/>
      <c r="U818" s="11"/>
      <c r="V818" s="9"/>
      <c r="W818" s="11"/>
      <c r="X818" s="9"/>
      <c r="Y818" s="11"/>
      <c r="Z818" s="11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ht="12.75" customHeight="1">
      <c r="A819" s="9"/>
      <c r="B819" s="9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9"/>
      <c r="S819" s="11"/>
      <c r="T819" s="9"/>
      <c r="U819" s="11"/>
      <c r="V819" s="9"/>
      <c r="W819" s="11"/>
      <c r="X819" s="9"/>
      <c r="Y819" s="11"/>
      <c r="Z819" s="11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ht="12.75" customHeight="1">
      <c r="A820" s="9"/>
      <c r="B820" s="9"/>
      <c r="C820" s="10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9"/>
      <c r="S820" s="11"/>
      <c r="T820" s="9"/>
      <c r="U820" s="11"/>
      <c r="V820" s="9"/>
      <c r="W820" s="11"/>
      <c r="X820" s="9"/>
      <c r="Y820" s="11"/>
      <c r="Z820" s="11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ht="12.75" customHeight="1">
      <c r="A821" s="9"/>
      <c r="B821" s="9"/>
      <c r="C821" s="10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9"/>
      <c r="S821" s="11"/>
      <c r="T821" s="9"/>
      <c r="U821" s="11"/>
      <c r="V821" s="9"/>
      <c r="W821" s="11"/>
      <c r="X821" s="9"/>
      <c r="Y821" s="11"/>
      <c r="Z821" s="11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ht="12.75" customHeight="1">
      <c r="A822" s="9"/>
      <c r="B822" s="9"/>
      <c r="C822" s="10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9"/>
      <c r="S822" s="11"/>
      <c r="T822" s="9"/>
      <c r="U822" s="11"/>
      <c r="V822" s="9"/>
      <c r="W822" s="11"/>
      <c r="X822" s="9"/>
      <c r="Y822" s="11"/>
      <c r="Z822" s="11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ht="12.75" customHeight="1">
      <c r="A823" s="9"/>
      <c r="B823" s="9"/>
      <c r="C823" s="10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9"/>
      <c r="S823" s="11"/>
      <c r="T823" s="9"/>
      <c r="U823" s="11"/>
      <c r="V823" s="9"/>
      <c r="W823" s="11"/>
      <c r="X823" s="9"/>
      <c r="Y823" s="11"/>
      <c r="Z823" s="11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ht="12.75" customHeight="1">
      <c r="A824" s="9"/>
      <c r="B824" s="9"/>
      <c r="C824" s="10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9"/>
      <c r="S824" s="11"/>
      <c r="T824" s="9"/>
      <c r="U824" s="11"/>
      <c r="V824" s="9"/>
      <c r="W824" s="11"/>
      <c r="X824" s="9"/>
      <c r="Y824" s="11"/>
      <c r="Z824" s="11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ht="12.75" customHeight="1">
      <c r="A825" s="9"/>
      <c r="B825" s="9"/>
      <c r="C825" s="10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9"/>
      <c r="S825" s="11"/>
      <c r="T825" s="9"/>
      <c r="U825" s="11"/>
      <c r="V825" s="9"/>
      <c r="W825" s="11"/>
      <c r="X825" s="9"/>
      <c r="Y825" s="11"/>
      <c r="Z825" s="11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ht="12.75" customHeight="1">
      <c r="A826" s="9"/>
      <c r="B826" s="9"/>
      <c r="C826" s="10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9"/>
      <c r="S826" s="11"/>
      <c r="T826" s="9"/>
      <c r="U826" s="11"/>
      <c r="V826" s="9"/>
      <c r="W826" s="11"/>
      <c r="X826" s="9"/>
      <c r="Y826" s="11"/>
      <c r="Z826" s="11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ht="12.75" customHeight="1">
      <c r="A827" s="9"/>
      <c r="B827" s="9"/>
      <c r="C827" s="10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9"/>
      <c r="S827" s="11"/>
      <c r="T827" s="9"/>
      <c r="U827" s="11"/>
      <c r="V827" s="9"/>
      <c r="W827" s="11"/>
      <c r="X827" s="9"/>
      <c r="Y827" s="11"/>
      <c r="Z827" s="11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ht="12.75" customHeight="1">
      <c r="A828" s="9"/>
      <c r="B828" s="9"/>
      <c r="C828" s="10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9"/>
      <c r="S828" s="11"/>
      <c r="T828" s="9"/>
      <c r="U828" s="11"/>
      <c r="V828" s="9"/>
      <c r="W828" s="11"/>
      <c r="X828" s="9"/>
      <c r="Y828" s="11"/>
      <c r="Z828" s="11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ht="12.75" customHeight="1">
      <c r="A829" s="9"/>
      <c r="B829" s="9"/>
      <c r="C829" s="10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9"/>
      <c r="S829" s="11"/>
      <c r="T829" s="9"/>
      <c r="U829" s="11"/>
      <c r="V829" s="9"/>
      <c r="W829" s="11"/>
      <c r="X829" s="9"/>
      <c r="Y829" s="11"/>
      <c r="Z829" s="11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ht="12.75" customHeight="1">
      <c r="A830" s="9"/>
      <c r="B830" s="9"/>
      <c r="C830" s="10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9"/>
      <c r="S830" s="11"/>
      <c r="T830" s="9"/>
      <c r="U830" s="11"/>
      <c r="V830" s="9"/>
      <c r="W830" s="11"/>
      <c r="X830" s="9"/>
      <c r="Y830" s="11"/>
      <c r="Z830" s="11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ht="12.75" customHeight="1">
      <c r="A831" s="9"/>
      <c r="B831" s="9"/>
      <c r="C831" s="10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9"/>
      <c r="S831" s="11"/>
      <c r="T831" s="9"/>
      <c r="U831" s="11"/>
      <c r="V831" s="9"/>
      <c r="W831" s="11"/>
      <c r="X831" s="9"/>
      <c r="Y831" s="11"/>
      <c r="Z831" s="11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ht="12.75" customHeight="1">
      <c r="A832" s="9"/>
      <c r="B832" s="9"/>
      <c r="C832" s="10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9"/>
      <c r="S832" s="11"/>
      <c r="T832" s="9"/>
      <c r="U832" s="11"/>
      <c r="V832" s="9"/>
      <c r="W832" s="11"/>
      <c r="X832" s="9"/>
      <c r="Y832" s="11"/>
      <c r="Z832" s="11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ht="12.75" customHeight="1">
      <c r="A833" s="9"/>
      <c r="B833" s="9"/>
      <c r="C833" s="10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9"/>
      <c r="S833" s="11"/>
      <c r="T833" s="9"/>
      <c r="U833" s="11"/>
      <c r="V833" s="9"/>
      <c r="W833" s="11"/>
      <c r="X833" s="9"/>
      <c r="Y833" s="11"/>
      <c r="Z833" s="11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ht="12.75" customHeight="1">
      <c r="A834" s="9"/>
      <c r="B834" s="9"/>
      <c r="C834" s="10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9"/>
      <c r="S834" s="11"/>
      <c r="T834" s="9"/>
      <c r="U834" s="11"/>
      <c r="V834" s="9"/>
      <c r="W834" s="11"/>
      <c r="X834" s="9"/>
      <c r="Y834" s="11"/>
      <c r="Z834" s="11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ht="12.75" customHeight="1">
      <c r="A835" s="9"/>
      <c r="B835" s="9"/>
      <c r="C835" s="10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9"/>
      <c r="S835" s="11"/>
      <c r="T835" s="9"/>
      <c r="U835" s="11"/>
      <c r="V835" s="9"/>
      <c r="W835" s="11"/>
      <c r="X835" s="9"/>
      <c r="Y835" s="11"/>
      <c r="Z835" s="11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ht="12.75" customHeight="1">
      <c r="A836" s="9"/>
      <c r="B836" s="9"/>
      <c r="C836" s="10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9"/>
      <c r="S836" s="11"/>
      <c r="T836" s="9"/>
      <c r="U836" s="11"/>
      <c r="V836" s="9"/>
      <c r="W836" s="11"/>
      <c r="X836" s="9"/>
      <c r="Y836" s="11"/>
      <c r="Z836" s="11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ht="12.75" customHeight="1">
      <c r="A837" s="9"/>
      <c r="B837" s="9"/>
      <c r="C837" s="10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9"/>
      <c r="S837" s="11"/>
      <c r="T837" s="9"/>
      <c r="U837" s="11"/>
      <c r="V837" s="9"/>
      <c r="W837" s="11"/>
      <c r="X837" s="9"/>
      <c r="Y837" s="11"/>
      <c r="Z837" s="11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ht="12.75" customHeight="1">
      <c r="A838" s="9"/>
      <c r="B838" s="9"/>
      <c r="C838" s="10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9"/>
      <c r="S838" s="11"/>
      <c r="T838" s="9"/>
      <c r="U838" s="11"/>
      <c r="V838" s="9"/>
      <c r="W838" s="11"/>
      <c r="X838" s="9"/>
      <c r="Y838" s="11"/>
      <c r="Z838" s="11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ht="12.75" customHeight="1">
      <c r="A839" s="9"/>
      <c r="B839" s="9"/>
      <c r="C839" s="10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9"/>
      <c r="S839" s="11"/>
      <c r="T839" s="9"/>
      <c r="U839" s="11"/>
      <c r="V839" s="9"/>
      <c r="W839" s="11"/>
      <c r="X839" s="9"/>
      <c r="Y839" s="11"/>
      <c r="Z839" s="11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ht="12.75" customHeight="1">
      <c r="A840" s="9"/>
      <c r="B840" s="9"/>
      <c r="C840" s="10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9"/>
      <c r="S840" s="11"/>
      <c r="T840" s="9"/>
      <c r="U840" s="11"/>
      <c r="V840" s="9"/>
      <c r="W840" s="11"/>
      <c r="X840" s="9"/>
      <c r="Y840" s="11"/>
      <c r="Z840" s="11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ht="12.75" customHeight="1">
      <c r="A841" s="9"/>
      <c r="B841" s="9"/>
      <c r="C841" s="10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9"/>
      <c r="S841" s="11"/>
      <c r="T841" s="9"/>
      <c r="U841" s="11"/>
      <c r="V841" s="9"/>
      <c r="W841" s="11"/>
      <c r="X841" s="9"/>
      <c r="Y841" s="11"/>
      <c r="Z841" s="11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ht="12.75" customHeight="1">
      <c r="A842" s="9"/>
      <c r="B842" s="9"/>
      <c r="C842" s="10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9"/>
      <c r="S842" s="11"/>
      <c r="T842" s="9"/>
      <c r="U842" s="11"/>
      <c r="V842" s="9"/>
      <c r="W842" s="11"/>
      <c r="X842" s="9"/>
      <c r="Y842" s="11"/>
      <c r="Z842" s="11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ht="12.75" customHeight="1">
      <c r="A843" s="9"/>
      <c r="B843" s="9"/>
      <c r="C843" s="10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9"/>
      <c r="S843" s="11"/>
      <c r="T843" s="9"/>
      <c r="U843" s="11"/>
      <c r="V843" s="9"/>
      <c r="W843" s="11"/>
      <c r="X843" s="9"/>
      <c r="Y843" s="11"/>
      <c r="Z843" s="11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ht="12.75" customHeight="1">
      <c r="A844" s="9"/>
      <c r="B844" s="9"/>
      <c r="C844" s="10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9"/>
      <c r="S844" s="11"/>
      <c r="T844" s="9"/>
      <c r="U844" s="11"/>
      <c r="V844" s="9"/>
      <c r="W844" s="11"/>
      <c r="X844" s="9"/>
      <c r="Y844" s="11"/>
      <c r="Z844" s="11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ht="12.75" customHeight="1">
      <c r="A845" s="9"/>
      <c r="B845" s="9"/>
      <c r="C845" s="10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9"/>
      <c r="S845" s="11"/>
      <c r="T845" s="9"/>
      <c r="U845" s="11"/>
      <c r="V845" s="9"/>
      <c r="W845" s="11"/>
      <c r="X845" s="9"/>
      <c r="Y845" s="11"/>
      <c r="Z845" s="11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ht="12.75" customHeight="1">
      <c r="A846" s="9"/>
      <c r="B846" s="9"/>
      <c r="C846" s="10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9"/>
      <c r="S846" s="11"/>
      <c r="T846" s="9"/>
      <c r="U846" s="11"/>
      <c r="V846" s="9"/>
      <c r="W846" s="11"/>
      <c r="X846" s="9"/>
      <c r="Y846" s="11"/>
      <c r="Z846" s="11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ht="12.75" customHeight="1">
      <c r="A847" s="9"/>
      <c r="B847" s="9"/>
      <c r="C847" s="10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9"/>
      <c r="S847" s="11"/>
      <c r="T847" s="9"/>
      <c r="U847" s="11"/>
      <c r="V847" s="9"/>
      <c r="W847" s="11"/>
      <c r="X847" s="9"/>
      <c r="Y847" s="11"/>
      <c r="Z847" s="11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ht="12.75" customHeight="1">
      <c r="A848" s="9"/>
      <c r="B848" s="9"/>
      <c r="C848" s="10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9"/>
      <c r="S848" s="11"/>
      <c r="T848" s="9"/>
      <c r="U848" s="11"/>
      <c r="V848" s="9"/>
      <c r="W848" s="11"/>
      <c r="X848" s="9"/>
      <c r="Y848" s="11"/>
      <c r="Z848" s="11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ht="12.75" customHeight="1">
      <c r="A849" s="9"/>
      <c r="B849" s="9"/>
      <c r="C849" s="10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9"/>
      <c r="S849" s="11"/>
      <c r="T849" s="9"/>
      <c r="U849" s="11"/>
      <c r="V849" s="9"/>
      <c r="W849" s="11"/>
      <c r="X849" s="9"/>
      <c r="Y849" s="11"/>
      <c r="Z849" s="11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ht="12.75" customHeight="1">
      <c r="A850" s="9"/>
      <c r="B850" s="9"/>
      <c r="C850" s="10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9"/>
      <c r="S850" s="11"/>
      <c r="T850" s="9"/>
      <c r="U850" s="11"/>
      <c r="V850" s="9"/>
      <c r="W850" s="11"/>
      <c r="X850" s="9"/>
      <c r="Y850" s="11"/>
      <c r="Z850" s="11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ht="12.75" customHeight="1">
      <c r="A851" s="9"/>
      <c r="B851" s="9"/>
      <c r="C851" s="10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9"/>
      <c r="S851" s="11"/>
      <c r="T851" s="9"/>
      <c r="U851" s="11"/>
      <c r="V851" s="9"/>
      <c r="W851" s="11"/>
      <c r="X851" s="9"/>
      <c r="Y851" s="11"/>
      <c r="Z851" s="11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ht="12.75" customHeight="1">
      <c r="A852" s="9"/>
      <c r="B852" s="9"/>
      <c r="C852" s="10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9"/>
      <c r="S852" s="11"/>
      <c r="T852" s="9"/>
      <c r="U852" s="11"/>
      <c r="V852" s="9"/>
      <c r="W852" s="11"/>
      <c r="X852" s="9"/>
      <c r="Y852" s="11"/>
      <c r="Z852" s="11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ht="12.75" customHeight="1">
      <c r="A853" s="9"/>
      <c r="B853" s="9"/>
      <c r="C853" s="10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9"/>
      <c r="S853" s="11"/>
      <c r="T853" s="9"/>
      <c r="U853" s="11"/>
      <c r="V853" s="9"/>
      <c r="W853" s="11"/>
      <c r="X853" s="9"/>
      <c r="Y853" s="11"/>
      <c r="Z853" s="11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ht="12.75" customHeight="1">
      <c r="A854" s="9"/>
      <c r="B854" s="9"/>
      <c r="C854" s="10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9"/>
      <c r="S854" s="11"/>
      <c r="T854" s="9"/>
      <c r="U854" s="11"/>
      <c r="V854" s="9"/>
      <c r="W854" s="11"/>
      <c r="X854" s="9"/>
      <c r="Y854" s="11"/>
      <c r="Z854" s="11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ht="12.75" customHeight="1">
      <c r="A855" s="9"/>
      <c r="B855" s="9"/>
      <c r="C855" s="10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9"/>
      <c r="S855" s="11"/>
      <c r="T855" s="9"/>
      <c r="U855" s="11"/>
      <c r="V855" s="9"/>
      <c r="W855" s="11"/>
      <c r="X855" s="9"/>
      <c r="Y855" s="11"/>
      <c r="Z855" s="11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ht="12.75" customHeight="1">
      <c r="A856" s="9"/>
      <c r="B856" s="9"/>
      <c r="C856" s="10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9"/>
      <c r="S856" s="11"/>
      <c r="T856" s="9"/>
      <c r="U856" s="11"/>
      <c r="V856" s="9"/>
      <c r="W856" s="11"/>
      <c r="X856" s="9"/>
      <c r="Y856" s="11"/>
      <c r="Z856" s="11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ht="12.75" customHeight="1">
      <c r="A857" s="9"/>
      <c r="B857" s="9"/>
      <c r="C857" s="10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9"/>
      <c r="S857" s="11"/>
      <c r="T857" s="9"/>
      <c r="U857" s="11"/>
      <c r="V857" s="9"/>
      <c r="W857" s="11"/>
      <c r="X857" s="9"/>
      <c r="Y857" s="11"/>
      <c r="Z857" s="11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ht="12.75" customHeight="1">
      <c r="A858" s="9"/>
      <c r="B858" s="9"/>
      <c r="C858" s="10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9"/>
      <c r="S858" s="11"/>
      <c r="T858" s="9"/>
      <c r="U858" s="11"/>
      <c r="V858" s="9"/>
      <c r="W858" s="11"/>
      <c r="X858" s="9"/>
      <c r="Y858" s="11"/>
      <c r="Z858" s="11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ht="12.75" customHeight="1">
      <c r="A859" s="9"/>
      <c r="B859" s="9"/>
      <c r="C859" s="10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9"/>
      <c r="S859" s="11"/>
      <c r="T859" s="9"/>
      <c r="U859" s="11"/>
      <c r="V859" s="9"/>
      <c r="W859" s="11"/>
      <c r="X859" s="9"/>
      <c r="Y859" s="11"/>
      <c r="Z859" s="11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ht="12.75" customHeight="1">
      <c r="A860" s="9"/>
      <c r="B860" s="9"/>
      <c r="C860" s="10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9"/>
      <c r="S860" s="11"/>
      <c r="T860" s="9"/>
      <c r="U860" s="11"/>
      <c r="V860" s="9"/>
      <c r="W860" s="11"/>
      <c r="X860" s="9"/>
      <c r="Y860" s="11"/>
      <c r="Z860" s="11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ht="12.75" customHeight="1">
      <c r="A861" s="9"/>
      <c r="B861" s="9"/>
      <c r="C861" s="10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9"/>
      <c r="S861" s="11"/>
      <c r="T861" s="9"/>
      <c r="U861" s="11"/>
      <c r="V861" s="9"/>
      <c r="W861" s="11"/>
      <c r="X861" s="9"/>
      <c r="Y861" s="11"/>
      <c r="Z861" s="11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ht="12.75" customHeight="1">
      <c r="A862" s="9"/>
      <c r="B862" s="9"/>
      <c r="C862" s="10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9"/>
      <c r="S862" s="11"/>
      <c r="T862" s="9"/>
      <c r="U862" s="11"/>
      <c r="V862" s="9"/>
      <c r="W862" s="11"/>
      <c r="X862" s="9"/>
      <c r="Y862" s="11"/>
      <c r="Z862" s="11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ht="12.75" customHeight="1">
      <c r="A863" s="9"/>
      <c r="B863" s="9"/>
      <c r="C863" s="10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9"/>
      <c r="S863" s="11"/>
      <c r="T863" s="9"/>
      <c r="U863" s="11"/>
      <c r="V863" s="9"/>
      <c r="W863" s="11"/>
      <c r="X863" s="9"/>
      <c r="Y863" s="11"/>
      <c r="Z863" s="11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ht="12.75" customHeight="1">
      <c r="A864" s="9"/>
      <c r="B864" s="9"/>
      <c r="C864" s="10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9"/>
      <c r="S864" s="11"/>
      <c r="T864" s="9"/>
      <c r="U864" s="11"/>
      <c r="V864" s="9"/>
      <c r="W864" s="11"/>
      <c r="X864" s="9"/>
      <c r="Y864" s="11"/>
      <c r="Z864" s="11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ht="12.75" customHeight="1">
      <c r="A865" s="9"/>
      <c r="B865" s="9"/>
      <c r="C865" s="10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9"/>
      <c r="S865" s="11"/>
      <c r="T865" s="9"/>
      <c r="U865" s="11"/>
      <c r="V865" s="9"/>
      <c r="W865" s="11"/>
      <c r="X865" s="9"/>
      <c r="Y865" s="11"/>
      <c r="Z865" s="11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ht="12.75" customHeight="1">
      <c r="A866" s="9"/>
      <c r="B866" s="9"/>
      <c r="C866" s="10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9"/>
      <c r="S866" s="11"/>
      <c r="T866" s="9"/>
      <c r="U866" s="11"/>
      <c r="V866" s="9"/>
      <c r="W866" s="11"/>
      <c r="X866" s="9"/>
      <c r="Y866" s="11"/>
      <c r="Z866" s="11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ht="12.75" customHeight="1">
      <c r="A867" s="9"/>
      <c r="B867" s="9"/>
      <c r="C867" s="10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9"/>
      <c r="S867" s="11"/>
      <c r="T867" s="9"/>
      <c r="U867" s="11"/>
      <c r="V867" s="9"/>
      <c r="W867" s="11"/>
      <c r="X867" s="9"/>
      <c r="Y867" s="11"/>
      <c r="Z867" s="11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ht="12.75" customHeight="1">
      <c r="A868" s="9"/>
      <c r="B868" s="9"/>
      <c r="C868" s="10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9"/>
      <c r="S868" s="11"/>
      <c r="T868" s="9"/>
      <c r="U868" s="11"/>
      <c r="V868" s="9"/>
      <c r="W868" s="11"/>
      <c r="X868" s="9"/>
      <c r="Y868" s="11"/>
      <c r="Z868" s="11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ht="12.75" customHeight="1">
      <c r="A869" s="9"/>
      <c r="B869" s="9"/>
      <c r="C869" s="10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9"/>
      <c r="S869" s="11"/>
      <c r="T869" s="9"/>
      <c r="U869" s="11"/>
      <c r="V869" s="9"/>
      <c r="W869" s="11"/>
      <c r="X869" s="9"/>
      <c r="Y869" s="11"/>
      <c r="Z869" s="11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ht="12.75" customHeight="1">
      <c r="A870" s="9"/>
      <c r="B870" s="9"/>
      <c r="C870" s="10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9"/>
      <c r="S870" s="11"/>
      <c r="T870" s="9"/>
      <c r="U870" s="11"/>
      <c r="V870" s="9"/>
      <c r="W870" s="11"/>
      <c r="X870" s="9"/>
      <c r="Y870" s="11"/>
      <c r="Z870" s="11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ht="12.75" customHeight="1">
      <c r="A871" s="9"/>
      <c r="B871" s="9"/>
      <c r="C871" s="10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9"/>
      <c r="S871" s="11"/>
      <c r="T871" s="9"/>
      <c r="U871" s="11"/>
      <c r="V871" s="9"/>
      <c r="W871" s="11"/>
      <c r="X871" s="9"/>
      <c r="Y871" s="11"/>
      <c r="Z871" s="11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ht="12.75" customHeight="1">
      <c r="A872" s="9"/>
      <c r="B872" s="9"/>
      <c r="C872" s="10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9"/>
      <c r="S872" s="11"/>
      <c r="T872" s="9"/>
      <c r="U872" s="11"/>
      <c r="V872" s="9"/>
      <c r="W872" s="11"/>
      <c r="X872" s="9"/>
      <c r="Y872" s="11"/>
      <c r="Z872" s="11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ht="12.75" customHeight="1">
      <c r="A873" s="9"/>
      <c r="B873" s="9"/>
      <c r="C873" s="10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9"/>
      <c r="S873" s="11"/>
      <c r="T873" s="9"/>
      <c r="U873" s="11"/>
      <c r="V873" s="9"/>
      <c r="W873" s="11"/>
      <c r="X873" s="9"/>
      <c r="Y873" s="11"/>
      <c r="Z873" s="11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ht="12.75" customHeight="1">
      <c r="A874" s="9"/>
      <c r="B874" s="9"/>
      <c r="C874" s="10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9"/>
      <c r="S874" s="11"/>
      <c r="T874" s="9"/>
      <c r="U874" s="11"/>
      <c r="V874" s="9"/>
      <c r="W874" s="11"/>
      <c r="X874" s="9"/>
      <c r="Y874" s="11"/>
      <c r="Z874" s="11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ht="12.75" customHeight="1">
      <c r="A875" s="9"/>
      <c r="B875" s="9"/>
      <c r="C875" s="10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9"/>
      <c r="S875" s="11"/>
      <c r="T875" s="9"/>
      <c r="U875" s="11"/>
      <c r="V875" s="9"/>
      <c r="W875" s="11"/>
      <c r="X875" s="9"/>
      <c r="Y875" s="11"/>
      <c r="Z875" s="11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ht="12.75" customHeight="1">
      <c r="A876" s="9"/>
      <c r="B876" s="9"/>
      <c r="C876" s="10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9"/>
      <c r="S876" s="11"/>
      <c r="T876" s="9"/>
      <c r="U876" s="11"/>
      <c r="V876" s="9"/>
      <c r="W876" s="11"/>
      <c r="X876" s="9"/>
      <c r="Y876" s="11"/>
      <c r="Z876" s="11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ht="12.75" customHeight="1">
      <c r="A877" s="9"/>
      <c r="B877" s="9"/>
      <c r="C877" s="10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9"/>
      <c r="S877" s="11"/>
      <c r="T877" s="9"/>
      <c r="U877" s="11"/>
      <c r="V877" s="9"/>
      <c r="W877" s="11"/>
      <c r="X877" s="9"/>
      <c r="Y877" s="11"/>
      <c r="Z877" s="11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ht="12.75" customHeight="1">
      <c r="A878" s="9"/>
      <c r="B878" s="9"/>
      <c r="C878" s="10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9"/>
      <c r="S878" s="11"/>
      <c r="T878" s="9"/>
      <c r="U878" s="11"/>
      <c r="V878" s="9"/>
      <c r="W878" s="11"/>
      <c r="X878" s="9"/>
      <c r="Y878" s="11"/>
      <c r="Z878" s="11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ht="12.75" customHeight="1">
      <c r="A879" s="9"/>
      <c r="B879" s="9"/>
      <c r="C879" s="10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9"/>
      <c r="S879" s="11"/>
      <c r="T879" s="9"/>
      <c r="U879" s="11"/>
      <c r="V879" s="9"/>
      <c r="W879" s="11"/>
      <c r="X879" s="9"/>
      <c r="Y879" s="11"/>
      <c r="Z879" s="11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ht="12.75" customHeight="1">
      <c r="A880" s="9"/>
      <c r="B880" s="9"/>
      <c r="C880" s="10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9"/>
      <c r="S880" s="11"/>
      <c r="T880" s="9"/>
      <c r="U880" s="11"/>
      <c r="V880" s="9"/>
      <c r="W880" s="11"/>
      <c r="X880" s="9"/>
      <c r="Y880" s="11"/>
      <c r="Z880" s="11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ht="12.75" customHeight="1">
      <c r="A881" s="9"/>
      <c r="B881" s="9"/>
      <c r="C881" s="10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9"/>
      <c r="S881" s="11"/>
      <c r="T881" s="9"/>
      <c r="U881" s="11"/>
      <c r="V881" s="9"/>
      <c r="W881" s="11"/>
      <c r="X881" s="9"/>
      <c r="Y881" s="11"/>
      <c r="Z881" s="11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ht="12.75" customHeight="1">
      <c r="A882" s="9"/>
      <c r="B882" s="9"/>
      <c r="C882" s="10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9"/>
      <c r="S882" s="11"/>
      <c r="T882" s="9"/>
      <c r="U882" s="11"/>
      <c r="V882" s="9"/>
      <c r="W882" s="11"/>
      <c r="X882" s="9"/>
      <c r="Y882" s="11"/>
      <c r="Z882" s="11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ht="12.75" customHeight="1">
      <c r="A883" s="9"/>
      <c r="B883" s="9"/>
      <c r="C883" s="10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9"/>
      <c r="S883" s="11"/>
      <c r="T883" s="9"/>
      <c r="U883" s="11"/>
      <c r="V883" s="9"/>
      <c r="W883" s="11"/>
      <c r="X883" s="9"/>
      <c r="Y883" s="11"/>
      <c r="Z883" s="11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ht="12.75" customHeight="1">
      <c r="A884" s="9"/>
      <c r="B884" s="9"/>
      <c r="C884" s="10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9"/>
      <c r="S884" s="11"/>
      <c r="T884" s="9"/>
      <c r="U884" s="11"/>
      <c r="V884" s="9"/>
      <c r="W884" s="11"/>
      <c r="X884" s="9"/>
      <c r="Y884" s="11"/>
      <c r="Z884" s="11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ht="12.75" customHeight="1">
      <c r="A885" s="9"/>
      <c r="B885" s="9"/>
      <c r="C885" s="10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9"/>
      <c r="S885" s="11"/>
      <c r="T885" s="9"/>
      <c r="U885" s="11"/>
      <c r="V885" s="9"/>
      <c r="W885" s="11"/>
      <c r="X885" s="9"/>
      <c r="Y885" s="11"/>
      <c r="Z885" s="11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ht="12.75" customHeight="1">
      <c r="A886" s="9"/>
      <c r="B886" s="9"/>
      <c r="C886" s="10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9"/>
      <c r="S886" s="11"/>
      <c r="T886" s="9"/>
      <c r="U886" s="11"/>
      <c r="V886" s="9"/>
      <c r="W886" s="11"/>
      <c r="X886" s="9"/>
      <c r="Y886" s="11"/>
      <c r="Z886" s="11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ht="12.75" customHeight="1">
      <c r="A887" s="9"/>
      <c r="B887" s="9"/>
      <c r="C887" s="10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9"/>
      <c r="S887" s="11"/>
      <c r="T887" s="9"/>
      <c r="U887" s="11"/>
      <c r="V887" s="9"/>
      <c r="W887" s="11"/>
      <c r="X887" s="9"/>
      <c r="Y887" s="11"/>
      <c r="Z887" s="11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ht="12.75" customHeight="1">
      <c r="A888" s="9"/>
      <c r="B888" s="9"/>
      <c r="C888" s="10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9"/>
      <c r="S888" s="11"/>
      <c r="T888" s="9"/>
      <c r="U888" s="11"/>
      <c r="V888" s="9"/>
      <c r="W888" s="11"/>
      <c r="X888" s="9"/>
      <c r="Y888" s="11"/>
      <c r="Z888" s="11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ht="12.75" customHeight="1">
      <c r="A889" s="9"/>
      <c r="B889" s="9"/>
      <c r="C889" s="10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9"/>
      <c r="S889" s="11"/>
      <c r="T889" s="9"/>
      <c r="U889" s="11"/>
      <c r="V889" s="9"/>
      <c r="W889" s="11"/>
      <c r="X889" s="9"/>
      <c r="Y889" s="11"/>
      <c r="Z889" s="11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ht="12.75" customHeight="1">
      <c r="A890" s="9"/>
      <c r="B890" s="9"/>
      <c r="C890" s="10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9"/>
      <c r="S890" s="11"/>
      <c r="T890" s="9"/>
      <c r="U890" s="11"/>
      <c r="V890" s="9"/>
      <c r="W890" s="11"/>
      <c r="X890" s="9"/>
      <c r="Y890" s="11"/>
      <c r="Z890" s="11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ht="12.75" customHeight="1">
      <c r="A891" s="9"/>
      <c r="B891" s="9"/>
      <c r="C891" s="10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9"/>
      <c r="S891" s="11"/>
      <c r="T891" s="9"/>
      <c r="U891" s="11"/>
      <c r="V891" s="9"/>
      <c r="W891" s="11"/>
      <c r="X891" s="9"/>
      <c r="Y891" s="11"/>
      <c r="Z891" s="11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ht="12.75" customHeight="1">
      <c r="A892" s="9"/>
      <c r="B892" s="9"/>
      <c r="C892" s="10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9"/>
      <c r="S892" s="11"/>
      <c r="T892" s="9"/>
      <c r="U892" s="11"/>
      <c r="V892" s="9"/>
      <c r="W892" s="11"/>
      <c r="X892" s="9"/>
      <c r="Y892" s="11"/>
      <c r="Z892" s="11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ht="12.75" customHeight="1">
      <c r="A893" s="9"/>
      <c r="B893" s="9"/>
      <c r="C893" s="10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9"/>
      <c r="S893" s="11"/>
      <c r="T893" s="9"/>
      <c r="U893" s="11"/>
      <c r="V893" s="9"/>
      <c r="W893" s="11"/>
      <c r="X893" s="9"/>
      <c r="Y893" s="11"/>
      <c r="Z893" s="11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ht="12.75" customHeight="1">
      <c r="A894" s="9"/>
      <c r="B894" s="9"/>
      <c r="C894" s="10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9"/>
      <c r="S894" s="11"/>
      <c r="T894" s="9"/>
      <c r="U894" s="11"/>
      <c r="V894" s="9"/>
      <c r="W894" s="11"/>
      <c r="X894" s="9"/>
      <c r="Y894" s="11"/>
      <c r="Z894" s="11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ht="12.75" customHeight="1">
      <c r="A895" s="9"/>
      <c r="B895" s="9"/>
      <c r="C895" s="10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9"/>
      <c r="S895" s="11"/>
      <c r="T895" s="9"/>
      <c r="U895" s="11"/>
      <c r="V895" s="9"/>
      <c r="W895" s="11"/>
      <c r="X895" s="9"/>
      <c r="Y895" s="11"/>
      <c r="Z895" s="11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ht="12.75" customHeight="1">
      <c r="A896" s="9"/>
      <c r="B896" s="9"/>
      <c r="C896" s="10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9"/>
      <c r="S896" s="11"/>
      <c r="T896" s="9"/>
      <c r="U896" s="11"/>
      <c r="V896" s="9"/>
      <c r="W896" s="11"/>
      <c r="X896" s="9"/>
      <c r="Y896" s="11"/>
      <c r="Z896" s="11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ht="12.75" customHeight="1">
      <c r="A897" s="9"/>
      <c r="B897" s="9"/>
      <c r="C897" s="10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9"/>
      <c r="S897" s="11"/>
      <c r="T897" s="9"/>
      <c r="U897" s="11"/>
      <c r="V897" s="9"/>
      <c r="W897" s="11"/>
      <c r="X897" s="9"/>
      <c r="Y897" s="11"/>
      <c r="Z897" s="11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ht="12.75" customHeight="1">
      <c r="A898" s="9"/>
      <c r="B898" s="9"/>
      <c r="C898" s="10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9"/>
      <c r="S898" s="11"/>
      <c r="T898" s="9"/>
      <c r="U898" s="11"/>
      <c r="V898" s="9"/>
      <c r="W898" s="11"/>
      <c r="X898" s="9"/>
      <c r="Y898" s="11"/>
      <c r="Z898" s="11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ht="12.75" customHeight="1">
      <c r="A899" s="9"/>
      <c r="B899" s="9"/>
      <c r="C899" s="10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9"/>
      <c r="S899" s="11"/>
      <c r="T899" s="9"/>
      <c r="U899" s="11"/>
      <c r="V899" s="9"/>
      <c r="W899" s="11"/>
      <c r="X899" s="9"/>
      <c r="Y899" s="11"/>
      <c r="Z899" s="11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ht="12.75" customHeight="1">
      <c r="A900" s="9"/>
      <c r="B900" s="9"/>
      <c r="C900" s="10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9"/>
      <c r="S900" s="11"/>
      <c r="T900" s="9"/>
      <c r="U900" s="11"/>
      <c r="V900" s="9"/>
      <c r="W900" s="11"/>
      <c r="X900" s="9"/>
      <c r="Y900" s="11"/>
      <c r="Z900" s="11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ht="12.75" customHeight="1">
      <c r="A901" s="9"/>
      <c r="B901" s="9"/>
      <c r="C901" s="10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9"/>
      <c r="S901" s="11"/>
      <c r="T901" s="9"/>
      <c r="U901" s="11"/>
      <c r="V901" s="9"/>
      <c r="W901" s="11"/>
      <c r="X901" s="9"/>
      <c r="Y901" s="11"/>
      <c r="Z901" s="11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ht="12.75" customHeight="1">
      <c r="A902" s="9"/>
      <c r="B902" s="9"/>
      <c r="C902" s="10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9"/>
      <c r="S902" s="11"/>
      <c r="T902" s="9"/>
      <c r="U902" s="11"/>
      <c r="V902" s="9"/>
      <c r="W902" s="11"/>
      <c r="X902" s="9"/>
      <c r="Y902" s="11"/>
      <c r="Z902" s="11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ht="12.75" customHeight="1">
      <c r="A903" s="9"/>
      <c r="B903" s="9"/>
      <c r="C903" s="10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9"/>
      <c r="S903" s="11"/>
      <c r="T903" s="9"/>
      <c r="U903" s="11"/>
      <c r="V903" s="9"/>
      <c r="W903" s="11"/>
      <c r="X903" s="9"/>
      <c r="Y903" s="11"/>
      <c r="Z903" s="11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ht="12.75" customHeight="1">
      <c r="A904" s="9"/>
      <c r="B904" s="9"/>
      <c r="C904" s="10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9"/>
      <c r="S904" s="11"/>
      <c r="T904" s="9"/>
      <c r="U904" s="11"/>
      <c r="V904" s="9"/>
      <c r="W904" s="11"/>
      <c r="X904" s="9"/>
      <c r="Y904" s="11"/>
      <c r="Z904" s="11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ht="12.75" customHeight="1">
      <c r="A905" s="9"/>
      <c r="B905" s="9"/>
      <c r="C905" s="10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9"/>
      <c r="S905" s="11"/>
      <c r="T905" s="9"/>
      <c r="U905" s="11"/>
      <c r="V905" s="9"/>
      <c r="W905" s="11"/>
      <c r="X905" s="9"/>
      <c r="Y905" s="11"/>
      <c r="Z905" s="11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ht="12.75" customHeight="1">
      <c r="A906" s="9"/>
      <c r="B906" s="9"/>
      <c r="C906" s="10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9"/>
      <c r="S906" s="11"/>
      <c r="T906" s="9"/>
      <c r="U906" s="11"/>
      <c r="V906" s="9"/>
      <c r="W906" s="11"/>
      <c r="X906" s="9"/>
      <c r="Y906" s="11"/>
      <c r="Z906" s="11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ht="12.75" customHeight="1">
      <c r="A907" s="9"/>
      <c r="B907" s="9"/>
      <c r="C907" s="10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9"/>
      <c r="S907" s="11"/>
      <c r="T907" s="9"/>
      <c r="U907" s="11"/>
      <c r="V907" s="9"/>
      <c r="W907" s="11"/>
      <c r="X907" s="9"/>
      <c r="Y907" s="11"/>
      <c r="Z907" s="11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ht="12.75" customHeight="1">
      <c r="A908" s="9"/>
      <c r="B908" s="9"/>
      <c r="C908" s="10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9"/>
      <c r="S908" s="11"/>
      <c r="T908" s="9"/>
      <c r="U908" s="11"/>
      <c r="V908" s="9"/>
      <c r="W908" s="11"/>
      <c r="X908" s="9"/>
      <c r="Y908" s="11"/>
      <c r="Z908" s="11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ht="12.75" customHeight="1">
      <c r="A909" s="9"/>
      <c r="B909" s="9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9"/>
      <c r="S909" s="11"/>
      <c r="T909" s="9"/>
      <c r="U909" s="11"/>
      <c r="V909" s="9"/>
      <c r="W909" s="11"/>
      <c r="X909" s="9"/>
      <c r="Y909" s="11"/>
      <c r="Z909" s="11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ht="12.75" customHeight="1">
      <c r="A910" s="9"/>
      <c r="B910" s="9"/>
      <c r="C910" s="10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9"/>
      <c r="S910" s="11"/>
      <c r="T910" s="9"/>
      <c r="U910" s="11"/>
      <c r="V910" s="9"/>
      <c r="W910" s="11"/>
      <c r="X910" s="9"/>
      <c r="Y910" s="11"/>
      <c r="Z910" s="11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ht="12.75" customHeight="1">
      <c r="A911" s="9"/>
      <c r="B911" s="9"/>
      <c r="C911" s="10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9"/>
      <c r="S911" s="11"/>
      <c r="T911" s="9"/>
      <c r="U911" s="11"/>
      <c r="V911" s="9"/>
      <c r="W911" s="11"/>
      <c r="X911" s="9"/>
      <c r="Y911" s="11"/>
      <c r="Z911" s="11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ht="12.75" customHeight="1">
      <c r="A912" s="9"/>
      <c r="B912" s="9"/>
      <c r="C912" s="10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9"/>
      <c r="S912" s="11"/>
      <c r="T912" s="9"/>
      <c r="U912" s="11"/>
      <c r="V912" s="9"/>
      <c r="W912" s="11"/>
      <c r="X912" s="9"/>
      <c r="Y912" s="11"/>
      <c r="Z912" s="11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ht="12.75" customHeight="1">
      <c r="A913" s="9"/>
      <c r="B913" s="9"/>
      <c r="C913" s="10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9"/>
      <c r="S913" s="11"/>
      <c r="T913" s="9"/>
      <c r="U913" s="11"/>
      <c r="V913" s="9"/>
      <c r="W913" s="11"/>
      <c r="X913" s="9"/>
      <c r="Y913" s="11"/>
      <c r="Z913" s="11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ht="12.75" customHeight="1">
      <c r="A914" s="9"/>
      <c r="B914" s="9"/>
      <c r="C914" s="10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9"/>
      <c r="S914" s="11"/>
      <c r="T914" s="9"/>
      <c r="U914" s="11"/>
      <c r="V914" s="9"/>
      <c r="W914" s="11"/>
      <c r="X914" s="9"/>
      <c r="Y914" s="11"/>
      <c r="Z914" s="11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ht="12.75" customHeight="1">
      <c r="A915" s="9"/>
      <c r="B915" s="9"/>
      <c r="C915" s="10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9"/>
      <c r="S915" s="11"/>
      <c r="T915" s="9"/>
      <c r="U915" s="11"/>
      <c r="V915" s="9"/>
      <c r="W915" s="11"/>
      <c r="X915" s="9"/>
      <c r="Y915" s="11"/>
      <c r="Z915" s="11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ht="12.75" customHeight="1">
      <c r="A916" s="9"/>
      <c r="B916" s="9"/>
      <c r="C916" s="10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9"/>
      <c r="S916" s="11"/>
      <c r="T916" s="9"/>
      <c r="U916" s="11"/>
      <c r="V916" s="9"/>
      <c r="W916" s="11"/>
      <c r="X916" s="9"/>
      <c r="Y916" s="11"/>
      <c r="Z916" s="11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ht="12.75" customHeight="1">
      <c r="A917" s="9"/>
      <c r="B917" s="9"/>
      <c r="C917" s="10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9"/>
      <c r="S917" s="11"/>
      <c r="T917" s="9"/>
      <c r="U917" s="11"/>
      <c r="V917" s="9"/>
      <c r="W917" s="11"/>
      <c r="X917" s="9"/>
      <c r="Y917" s="11"/>
      <c r="Z917" s="11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ht="12.75" customHeight="1">
      <c r="A918" s="9"/>
      <c r="B918" s="9"/>
      <c r="C918" s="10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9"/>
      <c r="S918" s="11"/>
      <c r="T918" s="9"/>
      <c r="U918" s="11"/>
      <c r="V918" s="9"/>
      <c r="W918" s="11"/>
      <c r="X918" s="9"/>
      <c r="Y918" s="11"/>
      <c r="Z918" s="11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ht="12.75" customHeight="1">
      <c r="A919" s="9"/>
      <c r="B919" s="9"/>
      <c r="C919" s="10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9"/>
      <c r="S919" s="11"/>
      <c r="T919" s="9"/>
      <c r="U919" s="11"/>
      <c r="V919" s="9"/>
      <c r="W919" s="11"/>
      <c r="X919" s="9"/>
      <c r="Y919" s="11"/>
      <c r="Z919" s="11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ht="12.75" customHeight="1">
      <c r="A920" s="9"/>
      <c r="B920" s="9"/>
      <c r="C920" s="10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9"/>
      <c r="S920" s="11"/>
      <c r="T920" s="9"/>
      <c r="U920" s="11"/>
      <c r="V920" s="9"/>
      <c r="W920" s="11"/>
      <c r="X920" s="9"/>
      <c r="Y920" s="11"/>
      <c r="Z920" s="11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ht="12.75" customHeight="1">
      <c r="A921" s="9"/>
      <c r="B921" s="9"/>
      <c r="C921" s="10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9"/>
      <c r="S921" s="11"/>
      <c r="T921" s="9"/>
      <c r="U921" s="11"/>
      <c r="V921" s="9"/>
      <c r="W921" s="11"/>
      <c r="X921" s="9"/>
      <c r="Y921" s="11"/>
      <c r="Z921" s="11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ht="12.75" customHeight="1">
      <c r="A922" s="9"/>
      <c r="B922" s="9"/>
      <c r="C922" s="10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9"/>
      <c r="S922" s="11"/>
      <c r="T922" s="9"/>
      <c r="U922" s="11"/>
      <c r="V922" s="9"/>
      <c r="W922" s="11"/>
      <c r="X922" s="9"/>
      <c r="Y922" s="11"/>
      <c r="Z922" s="11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ht="12.75" customHeight="1">
      <c r="A923" s="9"/>
      <c r="B923" s="9"/>
      <c r="C923" s="10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9"/>
      <c r="S923" s="11"/>
      <c r="T923" s="9"/>
      <c r="U923" s="11"/>
      <c r="V923" s="9"/>
      <c r="W923" s="11"/>
      <c r="X923" s="9"/>
      <c r="Y923" s="11"/>
      <c r="Z923" s="11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ht="12.75" customHeight="1">
      <c r="A924" s="9"/>
      <c r="B924" s="9"/>
      <c r="C924" s="10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9"/>
      <c r="S924" s="11"/>
      <c r="T924" s="9"/>
      <c r="U924" s="11"/>
      <c r="V924" s="9"/>
      <c r="W924" s="11"/>
      <c r="X924" s="9"/>
      <c r="Y924" s="11"/>
      <c r="Z924" s="11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ht="12.75" customHeight="1">
      <c r="A925" s="9"/>
      <c r="B925" s="9"/>
      <c r="C925" s="10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9"/>
      <c r="S925" s="11"/>
      <c r="T925" s="9"/>
      <c r="U925" s="11"/>
      <c r="V925" s="9"/>
      <c r="W925" s="11"/>
      <c r="X925" s="9"/>
      <c r="Y925" s="11"/>
      <c r="Z925" s="11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ht="12.75" customHeight="1">
      <c r="A926" s="9"/>
      <c r="B926" s="9"/>
      <c r="C926" s="10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9"/>
      <c r="S926" s="11"/>
      <c r="T926" s="9"/>
      <c r="U926" s="11"/>
      <c r="V926" s="9"/>
      <c r="W926" s="11"/>
      <c r="X926" s="9"/>
      <c r="Y926" s="11"/>
      <c r="Z926" s="11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ht="12.75" customHeight="1">
      <c r="A927" s="9"/>
      <c r="B927" s="9"/>
      <c r="C927" s="10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9"/>
      <c r="S927" s="11"/>
      <c r="T927" s="9"/>
      <c r="U927" s="11"/>
      <c r="V927" s="9"/>
      <c r="W927" s="11"/>
      <c r="X927" s="9"/>
      <c r="Y927" s="11"/>
      <c r="Z927" s="11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ht="12.75" customHeight="1">
      <c r="A928" s="9"/>
      <c r="B928" s="9"/>
      <c r="C928" s="10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9"/>
      <c r="S928" s="11"/>
      <c r="T928" s="9"/>
      <c r="U928" s="11"/>
      <c r="V928" s="9"/>
      <c r="W928" s="11"/>
      <c r="X928" s="9"/>
      <c r="Y928" s="11"/>
      <c r="Z928" s="11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ht="12.75" customHeight="1">
      <c r="A929" s="9"/>
      <c r="B929" s="9"/>
      <c r="C929" s="10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9"/>
      <c r="S929" s="11"/>
      <c r="T929" s="9"/>
      <c r="U929" s="11"/>
      <c r="V929" s="9"/>
      <c r="W929" s="11"/>
      <c r="X929" s="9"/>
      <c r="Y929" s="11"/>
      <c r="Z929" s="11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ht="12.75" customHeight="1">
      <c r="A930" s="9"/>
      <c r="B930" s="9"/>
      <c r="C930" s="10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9"/>
      <c r="S930" s="11"/>
      <c r="T930" s="9"/>
      <c r="U930" s="11"/>
      <c r="V930" s="9"/>
      <c r="W930" s="11"/>
      <c r="X930" s="9"/>
      <c r="Y930" s="11"/>
      <c r="Z930" s="11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ht="12.75" customHeight="1">
      <c r="A931" s="9"/>
      <c r="B931" s="9"/>
      <c r="C931" s="10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9"/>
      <c r="S931" s="11"/>
      <c r="T931" s="9"/>
      <c r="U931" s="11"/>
      <c r="V931" s="9"/>
      <c r="W931" s="11"/>
      <c r="X931" s="9"/>
      <c r="Y931" s="11"/>
      <c r="Z931" s="11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ht="12.75" customHeight="1">
      <c r="A932" s="9"/>
      <c r="B932" s="9"/>
      <c r="C932" s="10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9"/>
      <c r="S932" s="11"/>
      <c r="T932" s="9"/>
      <c r="U932" s="11"/>
      <c r="V932" s="9"/>
      <c r="W932" s="11"/>
      <c r="X932" s="9"/>
      <c r="Y932" s="11"/>
      <c r="Z932" s="11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ht="12.75" customHeight="1">
      <c r="A933" s="9"/>
      <c r="B933" s="9"/>
      <c r="C933" s="10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9"/>
      <c r="S933" s="11"/>
      <c r="T933" s="9"/>
      <c r="U933" s="11"/>
      <c r="V933" s="9"/>
      <c r="W933" s="11"/>
      <c r="X933" s="9"/>
      <c r="Y933" s="11"/>
      <c r="Z933" s="11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ht="12.75" customHeight="1">
      <c r="A934" s="9"/>
      <c r="B934" s="9"/>
      <c r="C934" s="10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9"/>
      <c r="S934" s="11"/>
      <c r="T934" s="9"/>
      <c r="U934" s="11"/>
      <c r="V934" s="9"/>
      <c r="W934" s="11"/>
      <c r="X934" s="9"/>
      <c r="Y934" s="11"/>
      <c r="Z934" s="11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ht="12.75" customHeight="1">
      <c r="A935" s="9"/>
      <c r="B935" s="9"/>
      <c r="C935" s="10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9"/>
      <c r="S935" s="11"/>
      <c r="T935" s="9"/>
      <c r="U935" s="11"/>
      <c r="V935" s="9"/>
      <c r="W935" s="11"/>
      <c r="X935" s="9"/>
      <c r="Y935" s="11"/>
      <c r="Z935" s="11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ht="12.75" customHeight="1">
      <c r="A936" s="9"/>
      <c r="B936" s="9"/>
      <c r="C936" s="10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9"/>
      <c r="S936" s="11"/>
      <c r="T936" s="9"/>
      <c r="U936" s="11"/>
      <c r="V936" s="9"/>
      <c r="W936" s="11"/>
      <c r="X936" s="9"/>
      <c r="Y936" s="11"/>
      <c r="Z936" s="11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ht="12.75" customHeight="1">
      <c r="A937" s="9"/>
      <c r="B937" s="9"/>
      <c r="C937" s="10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9"/>
      <c r="S937" s="11"/>
      <c r="T937" s="9"/>
      <c r="U937" s="11"/>
      <c r="V937" s="9"/>
      <c r="W937" s="11"/>
      <c r="X937" s="9"/>
      <c r="Y937" s="11"/>
      <c r="Z937" s="11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ht="12.75" customHeight="1">
      <c r="A938" s="9"/>
      <c r="B938" s="9"/>
      <c r="C938" s="10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9"/>
      <c r="S938" s="11"/>
      <c r="T938" s="9"/>
      <c r="U938" s="11"/>
      <c r="V938" s="9"/>
      <c r="W938" s="11"/>
      <c r="X938" s="9"/>
      <c r="Y938" s="11"/>
      <c r="Z938" s="11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ht="12.75" customHeight="1">
      <c r="A939" s="9"/>
      <c r="B939" s="9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9"/>
      <c r="S939" s="11"/>
      <c r="T939" s="9"/>
      <c r="U939" s="11"/>
      <c r="V939" s="9"/>
      <c r="W939" s="11"/>
      <c r="X939" s="9"/>
      <c r="Y939" s="11"/>
      <c r="Z939" s="11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ht="12.75" customHeight="1">
      <c r="A940" s="9"/>
      <c r="B940" s="9"/>
      <c r="C940" s="10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9"/>
      <c r="S940" s="11"/>
      <c r="T940" s="9"/>
      <c r="U940" s="11"/>
      <c r="V940" s="9"/>
      <c r="W940" s="11"/>
      <c r="X940" s="9"/>
      <c r="Y940" s="11"/>
      <c r="Z940" s="11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ht="12.75" customHeight="1">
      <c r="A941" s="9"/>
      <c r="B941" s="9"/>
      <c r="C941" s="10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9"/>
      <c r="S941" s="11"/>
      <c r="T941" s="9"/>
      <c r="U941" s="11"/>
      <c r="V941" s="9"/>
      <c r="W941" s="11"/>
      <c r="X941" s="9"/>
      <c r="Y941" s="11"/>
      <c r="Z941" s="11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ht="12.75" customHeight="1">
      <c r="A942" s="9"/>
      <c r="B942" s="9"/>
      <c r="C942" s="10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9"/>
      <c r="S942" s="11"/>
      <c r="T942" s="9"/>
      <c r="U942" s="11"/>
      <c r="V942" s="9"/>
      <c r="W942" s="11"/>
      <c r="X942" s="9"/>
      <c r="Y942" s="11"/>
      <c r="Z942" s="11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ht="12.75" customHeight="1">
      <c r="A943" s="9"/>
      <c r="B943" s="9"/>
      <c r="C943" s="10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9"/>
      <c r="S943" s="11"/>
      <c r="T943" s="9"/>
      <c r="U943" s="11"/>
      <c r="V943" s="9"/>
      <c r="W943" s="11"/>
      <c r="X943" s="9"/>
      <c r="Y943" s="11"/>
      <c r="Z943" s="11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ht="12.75" customHeight="1">
      <c r="A944" s="9"/>
      <c r="B944" s="9"/>
      <c r="C944" s="10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9"/>
      <c r="S944" s="11"/>
      <c r="T944" s="9"/>
      <c r="U944" s="11"/>
      <c r="V944" s="9"/>
      <c r="W944" s="11"/>
      <c r="X944" s="9"/>
      <c r="Y944" s="11"/>
      <c r="Z944" s="11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ht="12.75" customHeight="1">
      <c r="A945" s="9"/>
      <c r="B945" s="9"/>
      <c r="C945" s="10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9"/>
      <c r="S945" s="11"/>
      <c r="T945" s="9"/>
      <c r="U945" s="11"/>
      <c r="V945" s="9"/>
      <c r="W945" s="11"/>
      <c r="X945" s="9"/>
      <c r="Y945" s="11"/>
      <c r="Z945" s="11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ht="12.75" customHeight="1">
      <c r="A946" s="9"/>
      <c r="B946" s="9"/>
      <c r="C946" s="10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9"/>
      <c r="S946" s="11"/>
      <c r="T946" s="9"/>
      <c r="U946" s="11"/>
      <c r="V946" s="9"/>
      <c r="W946" s="11"/>
      <c r="X946" s="9"/>
      <c r="Y946" s="11"/>
      <c r="Z946" s="11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ht="12.75" customHeight="1">
      <c r="A947" s="9"/>
      <c r="B947" s="9"/>
      <c r="C947" s="10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9"/>
      <c r="S947" s="11"/>
      <c r="T947" s="9"/>
      <c r="U947" s="11"/>
      <c r="V947" s="9"/>
      <c r="W947" s="11"/>
      <c r="X947" s="9"/>
      <c r="Y947" s="11"/>
      <c r="Z947" s="11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ht="12.75" customHeight="1">
      <c r="A948" s="9"/>
      <c r="B948" s="9"/>
      <c r="C948" s="10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9"/>
      <c r="S948" s="11"/>
      <c r="T948" s="9"/>
      <c r="U948" s="11"/>
      <c r="V948" s="9"/>
      <c r="W948" s="11"/>
      <c r="X948" s="9"/>
      <c r="Y948" s="11"/>
      <c r="Z948" s="11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ht="12.75" customHeight="1">
      <c r="A949" s="9"/>
      <c r="B949" s="9"/>
      <c r="C949" s="10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9"/>
      <c r="S949" s="11"/>
      <c r="T949" s="9"/>
      <c r="U949" s="11"/>
      <c r="V949" s="9"/>
      <c r="W949" s="11"/>
      <c r="X949" s="9"/>
      <c r="Y949" s="11"/>
      <c r="Z949" s="11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ht="12.75" customHeight="1">
      <c r="A950" s="9"/>
      <c r="B950" s="9"/>
      <c r="C950" s="10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9"/>
      <c r="S950" s="11"/>
      <c r="T950" s="9"/>
      <c r="U950" s="11"/>
      <c r="V950" s="9"/>
      <c r="W950" s="11"/>
      <c r="X950" s="9"/>
      <c r="Y950" s="11"/>
      <c r="Z950" s="11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ht="12.75" customHeight="1">
      <c r="A951" s="9"/>
      <c r="B951" s="9"/>
      <c r="C951" s="10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9"/>
      <c r="S951" s="11"/>
      <c r="T951" s="9"/>
      <c r="U951" s="11"/>
      <c r="V951" s="9"/>
      <c r="W951" s="11"/>
      <c r="X951" s="9"/>
      <c r="Y951" s="11"/>
      <c r="Z951" s="11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ht="12.75" customHeight="1">
      <c r="A952" s="9"/>
      <c r="B952" s="9"/>
      <c r="C952" s="10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9"/>
      <c r="S952" s="11"/>
      <c r="T952" s="9"/>
      <c r="U952" s="11"/>
      <c r="V952" s="9"/>
      <c r="W952" s="11"/>
      <c r="X952" s="9"/>
      <c r="Y952" s="11"/>
      <c r="Z952" s="11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ht="12.75" customHeight="1">
      <c r="A953" s="9"/>
      <c r="B953" s="9"/>
      <c r="C953" s="10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9"/>
      <c r="S953" s="11"/>
      <c r="T953" s="9"/>
      <c r="U953" s="11"/>
      <c r="V953" s="9"/>
      <c r="W953" s="11"/>
      <c r="X953" s="9"/>
      <c r="Y953" s="11"/>
      <c r="Z953" s="11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ht="12.75" customHeight="1">
      <c r="A954" s="9"/>
      <c r="B954" s="9"/>
      <c r="C954" s="10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9"/>
      <c r="S954" s="11"/>
      <c r="T954" s="9"/>
      <c r="U954" s="11"/>
      <c r="V954" s="9"/>
      <c r="W954" s="11"/>
      <c r="X954" s="9"/>
      <c r="Y954" s="11"/>
      <c r="Z954" s="11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ht="12.75" customHeight="1">
      <c r="A955" s="9"/>
      <c r="B955" s="9"/>
      <c r="C955" s="10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9"/>
      <c r="S955" s="11"/>
      <c r="T955" s="9"/>
      <c r="U955" s="11"/>
      <c r="V955" s="9"/>
      <c r="W955" s="11"/>
      <c r="X955" s="9"/>
      <c r="Y955" s="11"/>
      <c r="Z955" s="11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ht="12.75" customHeight="1">
      <c r="A956" s="9"/>
      <c r="B956" s="9"/>
      <c r="C956" s="10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9"/>
      <c r="S956" s="11"/>
      <c r="T956" s="9"/>
      <c r="U956" s="11"/>
      <c r="V956" s="9"/>
      <c r="W956" s="11"/>
      <c r="X956" s="9"/>
      <c r="Y956" s="11"/>
      <c r="Z956" s="11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ht="12.75" customHeight="1">
      <c r="A957" s="9"/>
      <c r="B957" s="9"/>
      <c r="C957" s="10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9"/>
      <c r="S957" s="11"/>
      <c r="T957" s="9"/>
      <c r="U957" s="11"/>
      <c r="V957" s="9"/>
      <c r="W957" s="11"/>
      <c r="X957" s="9"/>
      <c r="Y957" s="11"/>
      <c r="Z957" s="11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ht="12.75" customHeight="1">
      <c r="A958" s="9"/>
      <c r="B958" s="9"/>
      <c r="C958" s="10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9"/>
      <c r="S958" s="11"/>
      <c r="T958" s="9"/>
      <c r="U958" s="11"/>
      <c r="V958" s="9"/>
      <c r="W958" s="11"/>
      <c r="X958" s="9"/>
      <c r="Y958" s="11"/>
      <c r="Z958" s="11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ht="12.75" customHeight="1">
      <c r="A959" s="9"/>
      <c r="B959" s="9"/>
      <c r="C959" s="10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9"/>
      <c r="S959" s="11"/>
      <c r="T959" s="9"/>
      <c r="U959" s="11"/>
      <c r="V959" s="9"/>
      <c r="W959" s="11"/>
      <c r="X959" s="9"/>
      <c r="Y959" s="11"/>
      <c r="Z959" s="11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ht="12.75" customHeight="1">
      <c r="A960" s="9"/>
      <c r="B960" s="9"/>
      <c r="C960" s="10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9"/>
      <c r="S960" s="11"/>
      <c r="T960" s="9"/>
      <c r="U960" s="11"/>
      <c r="V960" s="9"/>
      <c r="W960" s="11"/>
      <c r="X960" s="9"/>
      <c r="Y960" s="11"/>
      <c r="Z960" s="11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ht="12.75" customHeight="1">
      <c r="A961" s="9"/>
      <c r="B961" s="9"/>
      <c r="C961" s="10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9"/>
      <c r="S961" s="11"/>
      <c r="T961" s="9"/>
      <c r="U961" s="11"/>
      <c r="V961" s="9"/>
      <c r="W961" s="11"/>
      <c r="X961" s="9"/>
      <c r="Y961" s="11"/>
      <c r="Z961" s="11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ht="12.75" customHeight="1">
      <c r="A962" s="9"/>
      <c r="B962" s="9"/>
      <c r="C962" s="10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9"/>
      <c r="S962" s="11"/>
      <c r="T962" s="9"/>
      <c r="U962" s="11"/>
      <c r="V962" s="9"/>
      <c r="W962" s="11"/>
      <c r="X962" s="9"/>
      <c r="Y962" s="11"/>
      <c r="Z962" s="11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ht="12.75" customHeight="1">
      <c r="A963" s="9"/>
      <c r="B963" s="9"/>
      <c r="C963" s="10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9"/>
      <c r="S963" s="11"/>
      <c r="T963" s="9"/>
      <c r="U963" s="11"/>
      <c r="V963" s="9"/>
      <c r="W963" s="11"/>
      <c r="X963" s="9"/>
      <c r="Y963" s="11"/>
      <c r="Z963" s="11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ht="12.75" customHeight="1">
      <c r="A964" s="9"/>
      <c r="B964" s="9"/>
      <c r="C964" s="10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9"/>
      <c r="S964" s="11"/>
      <c r="T964" s="9"/>
      <c r="U964" s="11"/>
      <c r="V964" s="9"/>
      <c r="W964" s="11"/>
      <c r="X964" s="9"/>
      <c r="Y964" s="11"/>
      <c r="Z964" s="11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ht="12.75" customHeight="1">
      <c r="A965" s="9"/>
      <c r="B965" s="9"/>
      <c r="C965" s="10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9"/>
      <c r="S965" s="11"/>
      <c r="T965" s="9"/>
      <c r="U965" s="11"/>
      <c r="V965" s="9"/>
      <c r="W965" s="11"/>
      <c r="X965" s="9"/>
      <c r="Y965" s="11"/>
      <c r="Z965" s="11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ht="12.75" customHeight="1">
      <c r="A966" s="9"/>
      <c r="B966" s="9"/>
      <c r="C966" s="10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9"/>
      <c r="S966" s="11"/>
      <c r="T966" s="9"/>
      <c r="U966" s="11"/>
      <c r="V966" s="9"/>
      <c r="W966" s="11"/>
      <c r="X966" s="9"/>
      <c r="Y966" s="11"/>
      <c r="Z966" s="11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ht="12.75" customHeight="1">
      <c r="A967" s="9"/>
      <c r="B967" s="9"/>
      <c r="C967" s="10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9"/>
      <c r="S967" s="11"/>
      <c r="T967" s="9"/>
      <c r="U967" s="11"/>
      <c r="V967" s="9"/>
      <c r="W967" s="11"/>
      <c r="X967" s="9"/>
      <c r="Y967" s="11"/>
      <c r="Z967" s="11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ht="12.75" customHeight="1">
      <c r="A968" s="9"/>
      <c r="B968" s="9"/>
      <c r="C968" s="10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9"/>
      <c r="S968" s="11"/>
      <c r="T968" s="9"/>
      <c r="U968" s="11"/>
      <c r="V968" s="9"/>
      <c r="W968" s="11"/>
      <c r="X968" s="9"/>
      <c r="Y968" s="11"/>
      <c r="Z968" s="11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ht="12.75" customHeight="1">
      <c r="A969" s="9"/>
      <c r="B969" s="9"/>
      <c r="C969" s="10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9"/>
      <c r="S969" s="11"/>
      <c r="T969" s="9"/>
      <c r="U969" s="11"/>
      <c r="V969" s="9"/>
      <c r="W969" s="11"/>
      <c r="X969" s="9"/>
      <c r="Y969" s="11"/>
      <c r="Z969" s="11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ht="12.75" customHeight="1">
      <c r="A970" s="9"/>
      <c r="B970" s="9"/>
      <c r="C970" s="10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9"/>
      <c r="S970" s="11"/>
      <c r="T970" s="9"/>
      <c r="U970" s="11"/>
      <c r="V970" s="9"/>
      <c r="W970" s="11"/>
      <c r="X970" s="9"/>
      <c r="Y970" s="11"/>
      <c r="Z970" s="11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ht="12.75" customHeight="1">
      <c r="A971" s="9"/>
      <c r="B971" s="9"/>
      <c r="C971" s="10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9"/>
      <c r="S971" s="11"/>
      <c r="T971" s="9"/>
      <c r="U971" s="11"/>
      <c r="V971" s="9"/>
      <c r="W971" s="11"/>
      <c r="X971" s="9"/>
      <c r="Y971" s="11"/>
      <c r="Z971" s="11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ht="12.75" customHeight="1">
      <c r="A972" s="9"/>
      <c r="B972" s="9"/>
      <c r="C972" s="10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9"/>
      <c r="S972" s="11"/>
      <c r="T972" s="9"/>
      <c r="U972" s="11"/>
      <c r="V972" s="9"/>
      <c r="W972" s="11"/>
      <c r="X972" s="9"/>
      <c r="Y972" s="11"/>
      <c r="Z972" s="11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ht="12.75" customHeight="1">
      <c r="A973" s="9"/>
      <c r="B973" s="9"/>
      <c r="C973" s="10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9"/>
      <c r="S973" s="11"/>
      <c r="T973" s="9"/>
      <c r="U973" s="11"/>
      <c r="V973" s="9"/>
      <c r="W973" s="11"/>
      <c r="X973" s="9"/>
      <c r="Y973" s="11"/>
      <c r="Z973" s="11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ht="12.75" customHeight="1">
      <c r="A974" s="9"/>
      <c r="B974" s="9"/>
      <c r="C974" s="10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9"/>
      <c r="S974" s="11"/>
      <c r="T974" s="9"/>
      <c r="U974" s="11"/>
      <c r="V974" s="9"/>
      <c r="W974" s="11"/>
      <c r="X974" s="9"/>
      <c r="Y974" s="11"/>
      <c r="Z974" s="11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ht="12.75" customHeight="1">
      <c r="A975" s="9"/>
      <c r="B975" s="9"/>
      <c r="C975" s="10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9"/>
      <c r="S975" s="11"/>
      <c r="T975" s="9"/>
      <c r="U975" s="11"/>
      <c r="V975" s="9"/>
      <c r="W975" s="11"/>
      <c r="X975" s="9"/>
      <c r="Y975" s="11"/>
      <c r="Z975" s="11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ht="12.75" customHeight="1">
      <c r="A976" s="9"/>
      <c r="B976" s="9"/>
      <c r="C976" s="10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9"/>
      <c r="S976" s="11"/>
      <c r="T976" s="9"/>
      <c r="U976" s="11"/>
      <c r="V976" s="9"/>
      <c r="W976" s="11"/>
      <c r="X976" s="9"/>
      <c r="Y976" s="11"/>
      <c r="Z976" s="11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ht="12.75" customHeight="1">
      <c r="A977" s="9"/>
      <c r="B977" s="9"/>
      <c r="C977" s="10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9"/>
      <c r="S977" s="11"/>
      <c r="T977" s="9"/>
      <c r="U977" s="11"/>
      <c r="V977" s="9"/>
      <c r="W977" s="11"/>
      <c r="X977" s="9"/>
      <c r="Y977" s="11"/>
      <c r="Z977" s="11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ht="12.75" customHeight="1">
      <c r="A978" s="9"/>
      <c r="B978" s="9"/>
      <c r="C978" s="10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9"/>
      <c r="S978" s="11"/>
      <c r="T978" s="9"/>
      <c r="U978" s="11"/>
      <c r="V978" s="9"/>
      <c r="W978" s="11"/>
      <c r="X978" s="9"/>
      <c r="Y978" s="11"/>
      <c r="Z978" s="11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ht="12.75" customHeight="1">
      <c r="A979" s="9"/>
      <c r="B979" s="9"/>
      <c r="C979" s="10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9"/>
      <c r="S979" s="11"/>
      <c r="T979" s="9"/>
      <c r="U979" s="11"/>
      <c r="V979" s="9"/>
      <c r="W979" s="11"/>
      <c r="X979" s="9"/>
      <c r="Y979" s="11"/>
      <c r="Z979" s="11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ht="12.75" customHeight="1">
      <c r="A980" s="9"/>
      <c r="B980" s="9"/>
      <c r="C980" s="10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9"/>
      <c r="S980" s="11"/>
      <c r="T980" s="9"/>
      <c r="U980" s="11"/>
      <c r="V980" s="9"/>
      <c r="W980" s="11"/>
      <c r="X980" s="9"/>
      <c r="Y980" s="11"/>
      <c r="Z980" s="11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ht="12.75" customHeight="1">
      <c r="A981" s="9"/>
      <c r="B981" s="9"/>
      <c r="C981" s="10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9"/>
      <c r="S981" s="11"/>
      <c r="T981" s="9"/>
      <c r="U981" s="11"/>
      <c r="V981" s="9"/>
      <c r="W981" s="11"/>
      <c r="X981" s="9"/>
      <c r="Y981" s="11"/>
      <c r="Z981" s="11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ht="12.75" customHeight="1">
      <c r="A982" s="9"/>
      <c r="B982" s="9"/>
      <c r="C982" s="10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9"/>
      <c r="S982" s="11"/>
      <c r="T982" s="9"/>
      <c r="U982" s="11"/>
      <c r="V982" s="9"/>
      <c r="W982" s="11"/>
      <c r="X982" s="9"/>
      <c r="Y982" s="11"/>
      <c r="Z982" s="11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ht="12.75" customHeight="1">
      <c r="A983" s="9"/>
      <c r="B983" s="9"/>
      <c r="C983" s="10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9"/>
      <c r="S983" s="11"/>
      <c r="T983" s="9"/>
      <c r="U983" s="11"/>
      <c r="V983" s="9"/>
      <c r="W983" s="11"/>
      <c r="X983" s="9"/>
      <c r="Y983" s="11"/>
      <c r="Z983" s="11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ht="12.75" customHeight="1">
      <c r="A984" s="9"/>
      <c r="B984" s="9"/>
      <c r="C984" s="10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9"/>
      <c r="S984" s="11"/>
      <c r="T984" s="9"/>
      <c r="U984" s="11"/>
      <c r="V984" s="9"/>
      <c r="W984" s="11"/>
      <c r="X984" s="9"/>
      <c r="Y984" s="11"/>
      <c r="Z984" s="11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ht="12.75" customHeight="1">
      <c r="A985" s="9"/>
      <c r="B985" s="9"/>
      <c r="C985" s="10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9"/>
      <c r="S985" s="11"/>
      <c r="T985" s="9"/>
      <c r="U985" s="11"/>
      <c r="V985" s="9"/>
      <c r="W985" s="11"/>
      <c r="X985" s="9"/>
      <c r="Y985" s="11"/>
      <c r="Z985" s="11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ht="12.75" customHeight="1">
      <c r="A986" s="9"/>
      <c r="B986" s="9"/>
      <c r="C986" s="10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9"/>
      <c r="S986" s="11"/>
      <c r="T986" s="9"/>
      <c r="U986" s="11"/>
      <c r="V986" s="9"/>
      <c r="W986" s="11"/>
      <c r="X986" s="9"/>
      <c r="Y986" s="11"/>
      <c r="Z986" s="11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ht="12.75" customHeight="1">
      <c r="A987" s="9"/>
      <c r="B987" s="9"/>
      <c r="C987" s="10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9"/>
      <c r="S987" s="11"/>
      <c r="T987" s="9"/>
      <c r="U987" s="11"/>
      <c r="V987" s="9"/>
      <c r="W987" s="11"/>
      <c r="X987" s="9"/>
      <c r="Y987" s="11"/>
      <c r="Z987" s="11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ht="12.75" customHeight="1">
      <c r="A988" s="9"/>
      <c r="B988" s="9"/>
      <c r="C988" s="10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9"/>
      <c r="S988" s="11"/>
      <c r="T988" s="9"/>
      <c r="U988" s="11"/>
      <c r="V988" s="9"/>
      <c r="W988" s="11"/>
      <c r="X988" s="9"/>
      <c r="Y988" s="11"/>
      <c r="Z988" s="11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ht="12.75" customHeight="1">
      <c r="A989" s="9"/>
      <c r="B989" s="9"/>
      <c r="C989" s="10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9"/>
      <c r="S989" s="11"/>
      <c r="T989" s="9"/>
      <c r="U989" s="11"/>
      <c r="V989" s="9"/>
      <c r="W989" s="11"/>
      <c r="X989" s="9"/>
      <c r="Y989" s="11"/>
      <c r="Z989" s="11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ht="12.75" customHeight="1">
      <c r="A990" s="9"/>
      <c r="B990" s="9"/>
      <c r="C990" s="10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9"/>
      <c r="S990" s="11"/>
      <c r="T990" s="9"/>
      <c r="U990" s="11"/>
      <c r="V990" s="9"/>
      <c r="W990" s="11"/>
      <c r="X990" s="9"/>
      <c r="Y990" s="11"/>
      <c r="Z990" s="11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ht="12.75" customHeight="1">
      <c r="A991" s="9"/>
      <c r="B991" s="9"/>
      <c r="C991" s="10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9"/>
      <c r="S991" s="11"/>
      <c r="T991" s="9"/>
      <c r="U991" s="11"/>
      <c r="V991" s="9"/>
      <c r="W991" s="11"/>
      <c r="X991" s="9"/>
      <c r="Y991" s="11"/>
      <c r="Z991" s="11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ht="12.75" customHeight="1">
      <c r="A992" s="9"/>
      <c r="B992" s="9"/>
      <c r="C992" s="10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9"/>
      <c r="S992" s="11"/>
      <c r="T992" s="9"/>
      <c r="U992" s="11"/>
      <c r="V992" s="9"/>
      <c r="W992" s="11"/>
      <c r="X992" s="9"/>
      <c r="Y992" s="11"/>
      <c r="Z992" s="11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ht="12.75" customHeight="1">
      <c r="A993" s="9"/>
      <c r="B993" s="9"/>
      <c r="C993" s="10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9"/>
      <c r="S993" s="11"/>
      <c r="T993" s="9"/>
      <c r="U993" s="11"/>
      <c r="V993" s="9"/>
      <c r="W993" s="11"/>
      <c r="X993" s="9"/>
      <c r="Y993" s="11"/>
      <c r="Z993" s="11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ht="12.75" customHeight="1">
      <c r="A994" s="9"/>
      <c r="B994" s="9"/>
      <c r="C994" s="10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9"/>
      <c r="S994" s="11"/>
      <c r="T994" s="9"/>
      <c r="U994" s="11"/>
      <c r="V994" s="9"/>
      <c r="W994" s="11"/>
      <c r="X994" s="9"/>
      <c r="Y994" s="11"/>
      <c r="Z994" s="11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ht="12.75" customHeight="1">
      <c r="A995" s="9"/>
      <c r="B995" s="9"/>
      <c r="C995" s="10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9"/>
      <c r="S995" s="11"/>
      <c r="T995" s="9"/>
      <c r="U995" s="11"/>
      <c r="V995" s="9"/>
      <c r="W995" s="11"/>
      <c r="X995" s="9"/>
      <c r="Y995" s="11"/>
      <c r="Z995" s="11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ht="12.75" customHeight="1">
      <c r="A996" s="9"/>
      <c r="B996" s="9"/>
      <c r="C996" s="10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9"/>
      <c r="S996" s="11"/>
      <c r="T996" s="9"/>
      <c r="U996" s="11"/>
      <c r="V996" s="9"/>
      <c r="W996" s="11"/>
      <c r="X996" s="9"/>
      <c r="Y996" s="11"/>
      <c r="Z996" s="11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 ht="12.75" customHeight="1">
      <c r="A997" s="9"/>
      <c r="B997" s="9"/>
      <c r="C997" s="10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9"/>
      <c r="S997" s="11"/>
      <c r="T997" s="9"/>
      <c r="U997" s="11"/>
      <c r="V997" s="9"/>
      <c r="W997" s="11"/>
      <c r="X997" s="9"/>
      <c r="Y997" s="11"/>
      <c r="Z997" s="11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 ht="12.75" customHeight="1">
      <c r="A998" s="9"/>
      <c r="B998" s="9"/>
      <c r="C998" s="10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9"/>
      <c r="S998" s="11"/>
      <c r="T998" s="9"/>
      <c r="U998" s="11"/>
      <c r="V998" s="9"/>
      <c r="W998" s="11"/>
      <c r="X998" s="9"/>
      <c r="Y998" s="11"/>
      <c r="Z998" s="11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ht="12.75" customHeight="1">
      <c r="A999" s="9"/>
      <c r="B999" s="9"/>
      <c r="C999" s="10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9"/>
      <c r="S999" s="11"/>
      <c r="T999" s="9"/>
      <c r="U999" s="11"/>
      <c r="V999" s="9"/>
      <c r="W999" s="11"/>
      <c r="X999" s="9"/>
      <c r="Y999" s="11"/>
      <c r="Z999" s="11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 ht="12.75" customHeight="1">
      <c r="A1000" s="9"/>
      <c r="B1000" s="9"/>
      <c r="C1000" s="10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9"/>
      <c r="S1000" s="11"/>
      <c r="T1000" s="9"/>
      <c r="U1000" s="11"/>
      <c r="V1000" s="9"/>
      <c r="W1000" s="11"/>
      <c r="X1000" s="9"/>
      <c r="Y1000" s="11"/>
      <c r="Z1000" s="11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</sheetData>
  <mergeCells count="15">
    <mergeCell ref="B3:B7"/>
    <mergeCell ref="C4:C7"/>
    <mergeCell ref="B8:Z8"/>
    <mergeCell ref="B30:Z30"/>
    <mergeCell ref="B55:S55"/>
    <mergeCell ref="T55:U55"/>
    <mergeCell ref="V55:Y55"/>
    <mergeCell ref="B67:S67"/>
    <mergeCell ref="D3:O3"/>
    <mergeCell ref="P3:P7"/>
    <mergeCell ref="Q3:S3"/>
    <mergeCell ref="T3:U3"/>
    <mergeCell ref="V3:W3"/>
    <mergeCell ref="X3:Y3"/>
    <mergeCell ref="AB3:AB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5"/>
    <col customWidth="1" min="2" max="2" width="25.0"/>
    <col customWidth="1" min="3" max="3" width="9.13"/>
    <col customWidth="1" hidden="1" min="4" max="11" width="9.13"/>
    <col customWidth="1" hidden="1" min="12" max="12" width="10.38"/>
    <col customWidth="1" hidden="1" min="13" max="15" width="9.13"/>
    <col customWidth="1" min="16" max="16" width="13.0"/>
    <col customWidth="1" min="17" max="25" width="12.63"/>
    <col customWidth="1" min="26" max="26" width="15.13"/>
    <col customWidth="1" hidden="1" min="27" max="27" width="9.13"/>
    <col customWidth="1" hidden="1" min="28" max="28" width="76.13"/>
    <col customWidth="1" min="29" max="36" width="9.13"/>
  </cols>
  <sheetData>
    <row r="1" ht="21.75" customHeight="1">
      <c r="A1" s="1"/>
      <c r="B1" s="3" t="s">
        <v>2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8"/>
      <c r="R1" s="1"/>
      <c r="S1" s="8"/>
      <c r="T1" s="1"/>
      <c r="U1" s="8"/>
      <c r="V1" s="1"/>
      <c r="W1" s="8"/>
      <c r="X1" s="1"/>
      <c r="Y1" s="8"/>
      <c r="Z1" s="8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9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9"/>
      <c r="S2" s="11"/>
      <c r="T2" s="9"/>
      <c r="U2" s="11"/>
      <c r="V2" s="9"/>
      <c r="W2" s="11"/>
      <c r="X2" s="9"/>
      <c r="Y2" s="11"/>
      <c r="Z2" s="11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18.75" customHeight="1">
      <c r="A3" s="13"/>
      <c r="B3" s="14"/>
      <c r="C3" s="16" t="s">
        <v>4</v>
      </c>
      <c r="D3" s="19" t="s">
        <v>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  <c r="P3" s="21" t="s">
        <v>7</v>
      </c>
      <c r="Q3" s="22" t="s">
        <v>5</v>
      </c>
      <c r="R3" s="17"/>
      <c r="S3" s="18"/>
      <c r="T3" s="22" t="s">
        <v>9</v>
      </c>
      <c r="U3" s="18"/>
      <c r="V3" s="22" t="s">
        <v>10</v>
      </c>
      <c r="W3" s="18"/>
      <c r="X3" s="22" t="s">
        <v>12</v>
      </c>
      <c r="Y3" s="18"/>
      <c r="Z3" s="24" t="s">
        <v>15</v>
      </c>
      <c r="AA3" s="13"/>
      <c r="AB3" s="25"/>
      <c r="AC3" s="13"/>
      <c r="AD3" s="13"/>
      <c r="AE3" s="13"/>
      <c r="AF3" s="13"/>
      <c r="AG3" s="13"/>
      <c r="AH3" s="13"/>
      <c r="AI3" s="13"/>
      <c r="AJ3" s="13"/>
    </row>
    <row r="4" ht="12.75" customHeight="1">
      <c r="A4" s="9"/>
      <c r="B4" s="26"/>
      <c r="C4" s="28" t="s">
        <v>17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6"/>
      <c r="Q4" s="31" t="s">
        <v>20</v>
      </c>
      <c r="R4" s="33" t="s">
        <v>21</v>
      </c>
      <c r="S4" s="31" t="s">
        <v>22</v>
      </c>
      <c r="T4" s="33" t="s">
        <v>23</v>
      </c>
      <c r="U4" s="31" t="s">
        <v>25</v>
      </c>
      <c r="V4" s="33" t="s">
        <v>26</v>
      </c>
      <c r="W4" s="31" t="s">
        <v>28</v>
      </c>
      <c r="X4" s="33" t="s">
        <v>30</v>
      </c>
      <c r="Y4" s="31" t="s">
        <v>32</v>
      </c>
      <c r="Z4" s="34" t="s">
        <v>35</v>
      </c>
      <c r="AA4" s="9"/>
      <c r="AB4" s="35"/>
      <c r="AC4" s="37"/>
      <c r="AD4" s="37"/>
      <c r="AE4" s="37"/>
      <c r="AF4" s="37"/>
      <c r="AG4" s="37"/>
      <c r="AH4" s="37"/>
      <c r="AI4" s="37"/>
      <c r="AJ4" s="37"/>
    </row>
    <row r="5" ht="12.75" customHeight="1">
      <c r="A5" s="9"/>
      <c r="B5" s="26"/>
      <c r="C5" s="26"/>
      <c r="D5" s="40" t="s">
        <v>40</v>
      </c>
      <c r="E5" s="40" t="s">
        <v>42</v>
      </c>
      <c r="F5" s="40" t="s">
        <v>44</v>
      </c>
      <c r="G5" s="40" t="s">
        <v>45</v>
      </c>
      <c r="H5" s="40" t="s">
        <v>46</v>
      </c>
      <c r="I5" s="40" t="s">
        <v>47</v>
      </c>
      <c r="J5" s="40" t="s">
        <v>48</v>
      </c>
      <c r="K5" s="40" t="s">
        <v>49</v>
      </c>
      <c r="L5" s="40" t="s">
        <v>50</v>
      </c>
      <c r="M5" s="40" t="s">
        <v>51</v>
      </c>
      <c r="N5" s="40" t="s">
        <v>52</v>
      </c>
      <c r="O5" s="40" t="s">
        <v>53</v>
      </c>
      <c r="P5" s="26"/>
      <c r="Q5" s="31" t="s">
        <v>54</v>
      </c>
      <c r="R5" s="33" t="s">
        <v>55</v>
      </c>
      <c r="S5" s="31" t="s">
        <v>54</v>
      </c>
      <c r="T5" s="33" t="s">
        <v>57</v>
      </c>
      <c r="U5" s="31" t="s">
        <v>59</v>
      </c>
      <c r="V5" s="33" t="s">
        <v>61</v>
      </c>
      <c r="W5" s="31" t="s">
        <v>62</v>
      </c>
      <c r="X5" s="33" t="s">
        <v>64</v>
      </c>
      <c r="Y5" s="31" t="s">
        <v>65</v>
      </c>
      <c r="Z5" s="31" t="s">
        <v>66</v>
      </c>
      <c r="AA5" s="9"/>
      <c r="AB5" s="43"/>
      <c r="AC5" s="37"/>
      <c r="AD5" s="37"/>
      <c r="AE5" s="37"/>
      <c r="AF5" s="37"/>
      <c r="AG5" s="37"/>
      <c r="AH5" s="37"/>
      <c r="AI5" s="37"/>
      <c r="AJ5" s="37"/>
    </row>
    <row r="6" ht="12.75" customHeight="1">
      <c r="A6" s="9"/>
      <c r="B6" s="26"/>
      <c r="C6" s="26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6"/>
      <c r="Q6" s="31" t="s">
        <v>70</v>
      </c>
      <c r="R6" s="33" t="s">
        <v>71</v>
      </c>
      <c r="S6" s="31" t="s">
        <v>72</v>
      </c>
      <c r="T6" s="33" t="s">
        <v>73</v>
      </c>
      <c r="U6" s="31" t="s">
        <v>75</v>
      </c>
      <c r="V6" s="33" t="s">
        <v>76</v>
      </c>
      <c r="W6" s="31" t="s">
        <v>77</v>
      </c>
      <c r="X6" s="33" t="s">
        <v>78</v>
      </c>
      <c r="Y6" s="31" t="s">
        <v>80</v>
      </c>
      <c r="Z6" s="31" t="s">
        <v>82</v>
      </c>
      <c r="AA6" s="9"/>
      <c r="AB6" s="48"/>
      <c r="AC6" s="9"/>
      <c r="AD6" s="9"/>
      <c r="AE6" s="9"/>
      <c r="AF6" s="9"/>
      <c r="AG6" s="9"/>
      <c r="AH6" s="9"/>
      <c r="AI6" s="9"/>
      <c r="AJ6" s="9"/>
    </row>
    <row r="7" ht="18.75" customHeight="1">
      <c r="A7" s="9"/>
      <c r="B7" s="49"/>
      <c r="C7" s="49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49"/>
      <c r="Q7" s="52"/>
      <c r="R7" s="54"/>
      <c r="S7" s="55" t="s">
        <v>101</v>
      </c>
      <c r="T7" s="56"/>
      <c r="U7" s="55" t="s">
        <v>108</v>
      </c>
      <c r="V7" s="56"/>
      <c r="W7" s="55" t="s">
        <v>111</v>
      </c>
      <c r="X7" s="56"/>
      <c r="Y7" s="55" t="s">
        <v>113</v>
      </c>
      <c r="Z7" s="55" t="s">
        <v>114</v>
      </c>
      <c r="AA7" s="58"/>
      <c r="AB7" s="59"/>
      <c r="AC7" s="9"/>
      <c r="AD7" s="9"/>
      <c r="AE7" s="9"/>
      <c r="AF7" s="9"/>
      <c r="AG7" s="9"/>
      <c r="AH7" s="9"/>
      <c r="AI7" s="9"/>
      <c r="AJ7" s="9"/>
    </row>
    <row r="8" ht="12.75" customHeight="1">
      <c r="A8" s="9"/>
      <c r="B8" s="62" t="s">
        <v>117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  <c r="AA8" s="58"/>
      <c r="AB8" s="66"/>
      <c r="AC8" s="9"/>
      <c r="AD8" s="9"/>
      <c r="AE8" s="9"/>
      <c r="AF8" s="9"/>
      <c r="AG8" s="9"/>
      <c r="AH8" s="9"/>
      <c r="AI8" s="9"/>
      <c r="AJ8" s="9"/>
    </row>
    <row r="9" ht="12.75" customHeight="1">
      <c r="A9" s="9"/>
      <c r="B9" s="69" t="s">
        <v>138</v>
      </c>
      <c r="C9" s="7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3">
        <v>42.3</v>
      </c>
      <c r="S9" s="71" t="str">
        <f t="shared" ref="S9:S29" si="1">IF(Q9=0,"",Q9*R9)</f>
        <v/>
      </c>
      <c r="T9" s="77">
        <v>73300.0</v>
      </c>
      <c r="U9" s="79" t="str">
        <f t="shared" ref="U9:U29" si="2">IF(Q9=0,"",S9*T9/1000)</f>
        <v/>
      </c>
      <c r="V9" s="69"/>
      <c r="W9" s="83" t="str">
        <f t="shared" ref="W9:W29" si="3">IF(Q9=0,"",S9*V9/1000)</f>
        <v/>
      </c>
      <c r="X9" s="69"/>
      <c r="Y9" s="86" t="str">
        <f t="shared" ref="Y9:Y29" si="4">IF(Q9=0,"",S9*X9/1000)</f>
        <v/>
      </c>
      <c r="Z9" s="71"/>
      <c r="AA9" s="58"/>
      <c r="AB9" s="66"/>
      <c r="AC9" s="9"/>
      <c r="AD9" s="9"/>
      <c r="AE9" s="9"/>
      <c r="AF9" s="9"/>
      <c r="AG9" s="9"/>
      <c r="AH9" s="9"/>
      <c r="AI9" s="9"/>
      <c r="AJ9" s="9"/>
    </row>
    <row r="10" ht="12.75" customHeight="1">
      <c r="A10" s="9"/>
      <c r="B10" s="88" t="s">
        <v>176</v>
      </c>
      <c r="C10" s="90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4">
        <v>27.5</v>
      </c>
      <c r="S10" s="91" t="str">
        <f t="shared" si="1"/>
        <v/>
      </c>
      <c r="T10" s="95">
        <v>77000.0</v>
      </c>
      <c r="U10" s="79" t="str">
        <f t="shared" si="2"/>
        <v/>
      </c>
      <c r="V10" s="88"/>
      <c r="W10" s="83" t="str">
        <f t="shared" si="3"/>
        <v/>
      </c>
      <c r="X10" s="88"/>
      <c r="Y10" s="86" t="str">
        <f t="shared" si="4"/>
        <v/>
      </c>
      <c r="Z10" s="91"/>
      <c r="AA10" s="58"/>
      <c r="AB10" s="66"/>
      <c r="AC10" s="9"/>
      <c r="AD10" s="9"/>
      <c r="AE10" s="9"/>
      <c r="AF10" s="9"/>
      <c r="AG10" s="9"/>
      <c r="AH10" s="9"/>
      <c r="AI10" s="9"/>
      <c r="AJ10" s="9"/>
    </row>
    <row r="11" ht="12.75" customHeight="1">
      <c r="A11" s="9"/>
      <c r="B11" s="88" t="s">
        <v>190</v>
      </c>
      <c r="C11" s="90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4">
        <v>44.2</v>
      </c>
      <c r="S11" s="91" t="str">
        <f t="shared" si="1"/>
        <v/>
      </c>
      <c r="T11" s="95">
        <v>64200.0</v>
      </c>
      <c r="U11" s="79" t="str">
        <f t="shared" si="2"/>
        <v/>
      </c>
      <c r="V11" s="88"/>
      <c r="W11" s="83" t="str">
        <f t="shared" si="3"/>
        <v/>
      </c>
      <c r="X11" s="88"/>
      <c r="Y11" s="86" t="str">
        <f t="shared" si="4"/>
        <v/>
      </c>
      <c r="Z11" s="91"/>
      <c r="AA11" s="58"/>
      <c r="AB11" s="66"/>
      <c r="AC11" s="9"/>
      <c r="AD11" s="9"/>
      <c r="AE11" s="9"/>
      <c r="AF11" s="9"/>
      <c r="AG11" s="9"/>
      <c r="AH11" s="9"/>
      <c r="AI11" s="9"/>
      <c r="AJ11" s="9"/>
    </row>
    <row r="12" ht="12.75" customHeight="1">
      <c r="A12" s="103"/>
      <c r="B12" s="104" t="s">
        <v>197</v>
      </c>
      <c r="C12" s="106" t="s">
        <v>198</v>
      </c>
      <c r="D12" s="79"/>
      <c r="E12" s="79"/>
      <c r="F12" s="79">
        <v>62.47</v>
      </c>
      <c r="G12" s="79"/>
      <c r="H12" s="79">
        <v>68.0</v>
      </c>
      <c r="I12" s="79"/>
      <c r="J12" s="79">
        <v>62.0</v>
      </c>
      <c r="K12" s="79"/>
      <c r="L12" s="79">
        <v>113.0</v>
      </c>
      <c r="M12" s="79"/>
      <c r="N12" s="79">
        <v>62.0</v>
      </c>
      <c r="O12" s="79">
        <v>57.44</v>
      </c>
      <c r="P12" s="79">
        <f>SUM(D12:O12)</f>
        <v>424.91</v>
      </c>
      <c r="Q12" s="83">
        <f>$P$12*'Conversion Factors'!$F$7/1000000</f>
        <v>0.000339928</v>
      </c>
      <c r="R12" s="111">
        <v>44.3</v>
      </c>
      <c r="S12" s="79">
        <f t="shared" si="1"/>
        <v>0.0150588104</v>
      </c>
      <c r="T12" s="112">
        <v>69300.0</v>
      </c>
      <c r="U12" s="79">
        <f t="shared" si="2"/>
        <v>1.043575561</v>
      </c>
      <c r="V12" s="111">
        <v>33.0</v>
      </c>
      <c r="W12" s="83">
        <f t="shared" si="3"/>
        <v>0.0004969407432</v>
      </c>
      <c r="X12" s="104">
        <v>3.2</v>
      </c>
      <c r="Y12" s="86">
        <f t="shared" si="4"/>
        <v>0.00004818819328</v>
      </c>
      <c r="Z12" s="79">
        <f>U12+W12*28+Y12*273</f>
        <v>1.070645278</v>
      </c>
      <c r="AA12" s="58"/>
      <c r="AB12" s="109"/>
      <c r="AC12" s="9"/>
      <c r="AD12" s="103"/>
      <c r="AE12" s="103"/>
      <c r="AF12" s="103"/>
      <c r="AG12" s="103"/>
      <c r="AH12" s="103"/>
      <c r="AI12" s="103"/>
      <c r="AJ12" s="103"/>
    </row>
    <row r="13" ht="12.75" customHeight="1">
      <c r="A13" s="9"/>
      <c r="B13" s="88" t="s">
        <v>199</v>
      </c>
      <c r="C13" s="90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4">
        <v>44.3</v>
      </c>
      <c r="S13" s="91" t="str">
        <f t="shared" si="1"/>
        <v/>
      </c>
      <c r="T13" s="95">
        <v>70000.0</v>
      </c>
      <c r="U13" s="79" t="str">
        <f t="shared" si="2"/>
        <v/>
      </c>
      <c r="V13" s="88"/>
      <c r="W13" s="83" t="str">
        <f t="shared" si="3"/>
        <v/>
      </c>
      <c r="X13" s="88"/>
      <c r="Y13" s="86" t="str">
        <f t="shared" si="4"/>
        <v/>
      </c>
      <c r="Z13" s="91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ht="12.75" customHeight="1">
      <c r="A14" s="9"/>
      <c r="B14" s="88" t="s">
        <v>200</v>
      </c>
      <c r="C14" s="90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4">
        <v>44.3</v>
      </c>
      <c r="S14" s="91" t="str">
        <f t="shared" si="1"/>
        <v/>
      </c>
      <c r="T14" s="95">
        <v>70000.0</v>
      </c>
      <c r="U14" s="79" t="str">
        <f t="shared" si="2"/>
        <v/>
      </c>
      <c r="V14" s="88"/>
      <c r="W14" s="83" t="str">
        <f t="shared" si="3"/>
        <v/>
      </c>
      <c r="X14" s="88"/>
      <c r="Y14" s="86" t="str">
        <f t="shared" si="4"/>
        <v/>
      </c>
      <c r="Z14" s="91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ht="12.75" customHeight="1">
      <c r="A15" s="9"/>
      <c r="B15" s="88" t="s">
        <v>201</v>
      </c>
      <c r="C15" s="90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4">
        <v>44.1</v>
      </c>
      <c r="S15" s="91" t="str">
        <f t="shared" si="1"/>
        <v/>
      </c>
      <c r="T15" s="95">
        <v>71500.0</v>
      </c>
      <c r="U15" s="79" t="str">
        <f t="shared" si="2"/>
        <v/>
      </c>
      <c r="V15" s="88"/>
      <c r="W15" s="83" t="str">
        <f t="shared" si="3"/>
        <v/>
      </c>
      <c r="X15" s="88"/>
      <c r="Y15" s="86" t="str">
        <f t="shared" si="4"/>
        <v/>
      </c>
      <c r="Z15" s="91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ht="12.75" customHeight="1">
      <c r="A16" s="9"/>
      <c r="B16" s="88" t="s">
        <v>88</v>
      </c>
      <c r="C16" s="90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4">
        <v>43.8</v>
      </c>
      <c r="S16" s="91" t="str">
        <f t="shared" si="1"/>
        <v/>
      </c>
      <c r="T16" s="95">
        <v>71900.0</v>
      </c>
      <c r="U16" s="79" t="str">
        <f t="shared" si="2"/>
        <v/>
      </c>
      <c r="V16" s="88"/>
      <c r="W16" s="83" t="str">
        <f t="shared" si="3"/>
        <v/>
      </c>
      <c r="X16" s="88"/>
      <c r="Y16" s="86" t="str">
        <f t="shared" si="4"/>
        <v/>
      </c>
      <c r="Z16" s="91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12.75" customHeight="1">
      <c r="A17" s="9"/>
      <c r="B17" s="88" t="s">
        <v>203</v>
      </c>
      <c r="C17" s="90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4">
        <v>38.1</v>
      </c>
      <c r="S17" s="91" t="str">
        <f t="shared" si="1"/>
        <v/>
      </c>
      <c r="T17" s="95">
        <v>73300.0</v>
      </c>
      <c r="U17" s="79" t="str">
        <f t="shared" si="2"/>
        <v/>
      </c>
      <c r="V17" s="88"/>
      <c r="W17" s="83" t="str">
        <f t="shared" si="3"/>
        <v/>
      </c>
      <c r="X17" s="88"/>
      <c r="Y17" s="86" t="str">
        <f t="shared" si="4"/>
        <v/>
      </c>
      <c r="Z17" s="91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ht="12.75" customHeight="1">
      <c r="A18" s="103"/>
      <c r="B18" s="104" t="s">
        <v>204</v>
      </c>
      <c r="C18" s="106" t="s">
        <v>198</v>
      </c>
      <c r="D18" s="79">
        <v>12438.0</v>
      </c>
      <c r="E18" s="79">
        <v>7686.0</v>
      </c>
      <c r="F18" s="79">
        <v>11523.0</v>
      </c>
      <c r="G18" s="79">
        <v>10915.0</v>
      </c>
      <c r="H18" s="79">
        <v>13703.0</v>
      </c>
      <c r="I18" s="79">
        <v>20339.0</v>
      </c>
      <c r="J18" s="79">
        <v>32592.0</v>
      </c>
      <c r="K18" s="79">
        <v>21896.0</v>
      </c>
      <c r="L18" s="79">
        <v>13801.0</v>
      </c>
      <c r="M18" s="79">
        <v>12627.0</v>
      </c>
      <c r="N18" s="79">
        <v>31596.0</v>
      </c>
      <c r="O18" s="79">
        <v>3230.0</v>
      </c>
      <c r="P18" s="79">
        <f>SUM(D18:O18)</f>
        <v>192346</v>
      </c>
      <c r="Q18" s="79">
        <f>$P$18*'Conversion Factors'!$F$5/1000000</f>
        <v>0.16541756</v>
      </c>
      <c r="R18" s="111">
        <v>43.0</v>
      </c>
      <c r="S18" s="79">
        <f t="shared" si="1"/>
        <v>7.11295508</v>
      </c>
      <c r="T18" s="112">
        <v>74100.0</v>
      </c>
      <c r="U18" s="79">
        <f t="shared" si="2"/>
        <v>527.0699714</v>
      </c>
      <c r="V18" s="104">
        <v>3.9</v>
      </c>
      <c r="W18" s="79">
        <f t="shared" si="3"/>
        <v>0.02774052481</v>
      </c>
      <c r="X18" s="104">
        <v>3.9</v>
      </c>
      <c r="Y18" s="86">
        <f t="shared" si="4"/>
        <v>0.02774052481</v>
      </c>
      <c r="Z18" s="79">
        <f>U18+W18*28+Y18*273</f>
        <v>535.4198694</v>
      </c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</row>
    <row r="19" ht="12.75" customHeight="1">
      <c r="A19" s="9"/>
      <c r="B19" s="88" t="s">
        <v>207</v>
      </c>
      <c r="C19" s="90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79"/>
      <c r="R19" s="94">
        <v>40.4</v>
      </c>
      <c r="S19" s="91" t="str">
        <f t="shared" si="1"/>
        <v/>
      </c>
      <c r="T19" s="95">
        <v>77400.0</v>
      </c>
      <c r="U19" s="79" t="str">
        <f t="shared" si="2"/>
        <v/>
      </c>
      <c r="V19" s="88"/>
      <c r="W19" s="79" t="str">
        <f t="shared" si="3"/>
        <v/>
      </c>
      <c r="X19" s="88"/>
      <c r="Y19" s="86" t="str">
        <f t="shared" si="4"/>
        <v/>
      </c>
      <c r="Z19" s="91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ht="12.75" customHeight="1">
      <c r="A20" s="9"/>
      <c r="B20" s="88" t="s">
        <v>132</v>
      </c>
      <c r="C20" s="90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4">
        <v>47.3</v>
      </c>
      <c r="S20" s="91" t="str">
        <f t="shared" si="1"/>
        <v/>
      </c>
      <c r="T20" s="95">
        <v>63100.0</v>
      </c>
      <c r="U20" s="79" t="str">
        <f t="shared" si="2"/>
        <v/>
      </c>
      <c r="V20" s="88"/>
      <c r="W20" s="79" t="str">
        <f t="shared" si="3"/>
        <v/>
      </c>
      <c r="X20" s="88"/>
      <c r="Y20" s="86" t="str">
        <f t="shared" si="4"/>
        <v/>
      </c>
      <c r="Z20" s="7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ht="12.75" customHeight="1">
      <c r="A21" s="9"/>
      <c r="B21" s="88" t="s">
        <v>210</v>
      </c>
      <c r="C21" s="90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4">
        <v>46.4</v>
      </c>
      <c r="S21" s="91" t="str">
        <f t="shared" si="1"/>
        <v/>
      </c>
      <c r="T21" s="95">
        <v>61600.0</v>
      </c>
      <c r="U21" s="79" t="str">
        <f t="shared" si="2"/>
        <v/>
      </c>
      <c r="V21" s="88"/>
      <c r="W21" s="79" t="str">
        <f t="shared" si="3"/>
        <v/>
      </c>
      <c r="X21" s="88"/>
      <c r="Y21" s="86" t="str">
        <f t="shared" si="4"/>
        <v/>
      </c>
      <c r="Z21" s="91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12.75" customHeight="1">
      <c r="A22" s="9"/>
      <c r="B22" s="88" t="s">
        <v>211</v>
      </c>
      <c r="C22" s="9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4">
        <v>44.5</v>
      </c>
      <c r="S22" s="91" t="str">
        <f t="shared" si="1"/>
        <v/>
      </c>
      <c r="T22" s="95">
        <v>73300.0</v>
      </c>
      <c r="U22" s="79" t="str">
        <f t="shared" si="2"/>
        <v/>
      </c>
      <c r="V22" s="88"/>
      <c r="W22" s="79" t="str">
        <f t="shared" si="3"/>
        <v/>
      </c>
      <c r="X22" s="88"/>
      <c r="Y22" s="86" t="str">
        <f t="shared" si="4"/>
        <v/>
      </c>
      <c r="Z22" s="91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ht="12.75" customHeight="1">
      <c r="A23" s="9"/>
      <c r="B23" s="88" t="s">
        <v>213</v>
      </c>
      <c r="C23" s="9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4">
        <v>40.2</v>
      </c>
      <c r="S23" s="91" t="str">
        <f t="shared" si="1"/>
        <v/>
      </c>
      <c r="T23" s="95">
        <v>80700.0</v>
      </c>
      <c r="U23" s="79" t="str">
        <f t="shared" si="2"/>
        <v/>
      </c>
      <c r="V23" s="88"/>
      <c r="W23" s="79" t="str">
        <f t="shared" si="3"/>
        <v/>
      </c>
      <c r="X23" s="88"/>
      <c r="Y23" s="86" t="str">
        <f t="shared" si="4"/>
        <v/>
      </c>
      <c r="Z23" s="91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ht="12.75" customHeight="1">
      <c r="A24" s="9"/>
      <c r="B24" s="88" t="s">
        <v>215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4">
        <v>40.2</v>
      </c>
      <c r="S24" s="91" t="str">
        <f t="shared" si="1"/>
        <v/>
      </c>
      <c r="T24" s="95">
        <v>73300.0</v>
      </c>
      <c r="U24" s="79" t="str">
        <f t="shared" si="2"/>
        <v/>
      </c>
      <c r="V24" s="88"/>
      <c r="W24" s="79" t="str">
        <f t="shared" si="3"/>
        <v/>
      </c>
      <c r="X24" s="88"/>
      <c r="Y24" s="86" t="str">
        <f t="shared" si="4"/>
        <v/>
      </c>
      <c r="Z24" s="91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ht="12.75" customHeight="1">
      <c r="A25" s="9"/>
      <c r="B25" s="88" t="s">
        <v>217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4">
        <v>32.5</v>
      </c>
      <c r="S25" s="91" t="str">
        <f t="shared" si="1"/>
        <v/>
      </c>
      <c r="T25" s="95">
        <v>97500.0</v>
      </c>
      <c r="U25" s="79" t="str">
        <f t="shared" si="2"/>
        <v/>
      </c>
      <c r="V25" s="88"/>
      <c r="W25" s="79" t="str">
        <f t="shared" si="3"/>
        <v/>
      </c>
      <c r="X25" s="88"/>
      <c r="Y25" s="86" t="str">
        <f t="shared" si="4"/>
        <v/>
      </c>
      <c r="Z25" s="91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ht="15.0" customHeight="1">
      <c r="A26" s="9"/>
      <c r="B26" s="88" t="s">
        <v>219</v>
      </c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4">
        <v>43.0</v>
      </c>
      <c r="S26" s="91" t="str">
        <f t="shared" si="1"/>
        <v/>
      </c>
      <c r="T26" s="95">
        <v>73300.0</v>
      </c>
      <c r="U26" s="79" t="str">
        <f t="shared" si="2"/>
        <v/>
      </c>
      <c r="V26" s="88"/>
      <c r="W26" s="79" t="str">
        <f t="shared" si="3"/>
        <v/>
      </c>
      <c r="X26" s="88"/>
      <c r="Y26" s="86" t="str">
        <f t="shared" si="4"/>
        <v/>
      </c>
      <c r="Z26" s="91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ht="12.75" customHeight="1">
      <c r="A27" s="9"/>
      <c r="B27" s="88" t="s">
        <v>221</v>
      </c>
      <c r="C27" s="90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4">
        <v>49.5</v>
      </c>
      <c r="S27" s="91" t="str">
        <f t="shared" si="1"/>
        <v/>
      </c>
      <c r="T27" s="95">
        <v>57600.0</v>
      </c>
      <c r="U27" s="79" t="str">
        <f t="shared" si="2"/>
        <v/>
      </c>
      <c r="V27" s="88"/>
      <c r="W27" s="79" t="str">
        <f t="shared" si="3"/>
        <v/>
      </c>
      <c r="X27" s="88"/>
      <c r="Y27" s="86" t="str">
        <f t="shared" si="4"/>
        <v/>
      </c>
      <c r="Z27" s="91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ht="12.75" customHeight="1">
      <c r="A28" s="9"/>
      <c r="B28" s="88" t="s">
        <v>222</v>
      </c>
      <c r="C28" s="9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4">
        <v>40.2</v>
      </c>
      <c r="S28" s="91" t="str">
        <f t="shared" si="1"/>
        <v/>
      </c>
      <c r="T28" s="95">
        <v>73300.0</v>
      </c>
      <c r="U28" s="79" t="str">
        <f t="shared" si="2"/>
        <v/>
      </c>
      <c r="V28" s="88"/>
      <c r="W28" s="79" t="str">
        <f t="shared" si="3"/>
        <v/>
      </c>
      <c r="X28" s="88"/>
      <c r="Y28" s="86" t="str">
        <f t="shared" si="4"/>
        <v/>
      </c>
      <c r="Z28" s="91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ht="13.5" customHeight="1">
      <c r="A29" s="9"/>
      <c r="B29" s="128" t="s">
        <v>223</v>
      </c>
      <c r="C29" s="129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32"/>
      <c r="S29" s="131" t="str">
        <f t="shared" si="1"/>
        <v/>
      </c>
      <c r="T29" s="133">
        <v>73300.0</v>
      </c>
      <c r="U29" s="79" t="str">
        <f t="shared" si="2"/>
        <v/>
      </c>
      <c r="V29" s="134"/>
      <c r="W29" s="79" t="str">
        <f t="shared" si="3"/>
        <v/>
      </c>
      <c r="X29" s="134"/>
      <c r="Y29" s="86" t="str">
        <f t="shared" si="4"/>
        <v/>
      </c>
      <c r="Z29" s="131" t="str">
        <f>IF(R29=0,"",T29*Y29/10^6)</f>
        <v/>
      </c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12.75" hidden="1" customHeight="1">
      <c r="A30" s="9"/>
      <c r="B30" s="62" t="s">
        <v>224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4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ht="12.75" hidden="1" customHeight="1">
      <c r="A31" s="9"/>
      <c r="B31" s="69" t="s">
        <v>225</v>
      </c>
      <c r="C31" s="70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137"/>
      <c r="R31" s="73">
        <v>26.7</v>
      </c>
      <c r="S31" s="71" t="str">
        <f t="shared" ref="S31:S45" si="5">IF(Q31=0,"",Q31*R31)</f>
        <v/>
      </c>
      <c r="T31" s="77">
        <v>98300.0</v>
      </c>
      <c r="U31" s="79" t="str">
        <f t="shared" ref="U31:U45" si="6">IF(Q31=0,"",S31*T31/1000)</f>
        <v/>
      </c>
      <c r="V31" s="69"/>
      <c r="W31" s="79" t="str">
        <f t="shared" ref="W31:W45" si="7">IF(Q31=0,"",S31*V31/1000)</f>
        <v/>
      </c>
      <c r="X31" s="69"/>
      <c r="Y31" s="86" t="str">
        <f t="shared" ref="Y31:Y45" si="8">IF(Q31=0,"",S31*X31/1000)</f>
        <v/>
      </c>
      <c r="Z31" s="71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ht="12.75" hidden="1" customHeight="1">
      <c r="A32" s="9"/>
      <c r="B32" s="88" t="s">
        <v>226</v>
      </c>
      <c r="C32" s="90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4">
        <v>28.2</v>
      </c>
      <c r="S32" s="91" t="str">
        <f t="shared" si="5"/>
        <v/>
      </c>
      <c r="T32" s="95">
        <v>94600.0</v>
      </c>
      <c r="U32" s="79" t="str">
        <f t="shared" si="6"/>
        <v/>
      </c>
      <c r="V32" s="88"/>
      <c r="W32" s="79" t="str">
        <f t="shared" si="7"/>
        <v/>
      </c>
      <c r="X32" s="88"/>
      <c r="Y32" s="86" t="str">
        <f t="shared" si="8"/>
        <v/>
      </c>
      <c r="Z32" s="91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ht="12.75" hidden="1" customHeight="1">
      <c r="A33" s="9"/>
      <c r="B33" s="88" t="s">
        <v>227</v>
      </c>
      <c r="C33" s="90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4">
        <v>28.2</v>
      </c>
      <c r="S33" s="91" t="str">
        <f t="shared" si="5"/>
        <v/>
      </c>
      <c r="T33" s="95">
        <v>94600.0</v>
      </c>
      <c r="U33" s="79" t="str">
        <f t="shared" si="6"/>
        <v/>
      </c>
      <c r="V33" s="88"/>
      <c r="W33" s="79" t="str">
        <f t="shared" si="7"/>
        <v/>
      </c>
      <c r="X33" s="88"/>
      <c r="Y33" s="86" t="str">
        <f t="shared" si="8"/>
        <v/>
      </c>
      <c r="Z33" s="91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ht="12.75" hidden="1" customHeight="1">
      <c r="A34" s="9"/>
      <c r="B34" s="88" t="s">
        <v>228</v>
      </c>
      <c r="C34" s="90"/>
      <c r="D34" s="91">
        <v>414167.0</v>
      </c>
      <c r="E34" s="91">
        <v>290945.0</v>
      </c>
      <c r="F34" s="91">
        <v>371099.0</v>
      </c>
      <c r="G34" s="91">
        <v>398417.0</v>
      </c>
      <c r="H34" s="91">
        <v>444814.0</v>
      </c>
      <c r="I34" s="91">
        <v>322436.0</v>
      </c>
      <c r="J34" s="91">
        <v>337317.0</v>
      </c>
      <c r="K34" s="91">
        <v>288514.0</v>
      </c>
      <c r="L34" s="91">
        <v>166038.2</v>
      </c>
      <c r="M34" s="91">
        <v>266070.58</v>
      </c>
      <c r="N34" s="91">
        <v>381556.0</v>
      </c>
      <c r="O34" s="91"/>
      <c r="P34" s="91"/>
      <c r="Q34" s="91"/>
      <c r="R34" s="94">
        <v>18.9</v>
      </c>
      <c r="S34" s="91" t="str">
        <f t="shared" si="5"/>
        <v/>
      </c>
      <c r="T34" s="95">
        <v>96100.0</v>
      </c>
      <c r="U34" s="79" t="str">
        <f t="shared" si="6"/>
        <v/>
      </c>
      <c r="V34" s="88"/>
      <c r="W34" s="79" t="str">
        <f t="shared" si="7"/>
        <v/>
      </c>
      <c r="X34" s="88"/>
      <c r="Y34" s="86" t="str">
        <f t="shared" si="8"/>
        <v/>
      </c>
      <c r="Z34" s="7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ht="12.75" hidden="1" customHeight="1">
      <c r="A35" s="9"/>
      <c r="B35" s="88" t="s">
        <v>229</v>
      </c>
      <c r="C35" s="90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4">
        <v>11.9</v>
      </c>
      <c r="S35" s="91" t="str">
        <f t="shared" si="5"/>
        <v/>
      </c>
      <c r="T35" s="95">
        <v>101000.0</v>
      </c>
      <c r="U35" s="79" t="str">
        <f t="shared" si="6"/>
        <v/>
      </c>
      <c r="V35" s="88"/>
      <c r="W35" s="79" t="str">
        <f t="shared" si="7"/>
        <v/>
      </c>
      <c r="X35" s="88"/>
      <c r="Y35" s="86" t="str">
        <f t="shared" si="8"/>
        <v/>
      </c>
      <c r="Z35" s="91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ht="12.75" hidden="1" customHeight="1">
      <c r="A36" s="9"/>
      <c r="B36" s="88" t="s">
        <v>230</v>
      </c>
      <c r="C36" s="9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4">
        <v>8.9</v>
      </c>
      <c r="S36" s="91" t="str">
        <f t="shared" si="5"/>
        <v/>
      </c>
      <c r="T36" s="95">
        <v>107000.0</v>
      </c>
      <c r="U36" s="79" t="str">
        <f t="shared" si="6"/>
        <v/>
      </c>
      <c r="V36" s="88"/>
      <c r="W36" s="79" t="str">
        <f t="shared" si="7"/>
        <v/>
      </c>
      <c r="X36" s="88"/>
      <c r="Y36" s="86" t="str">
        <f t="shared" si="8"/>
        <v/>
      </c>
      <c r="Z36" s="91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ht="12.75" hidden="1" customHeight="1">
      <c r="A37" s="9"/>
      <c r="B37" s="88" t="s">
        <v>231</v>
      </c>
      <c r="C37" s="90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4">
        <v>20.7</v>
      </c>
      <c r="S37" s="91" t="str">
        <f t="shared" si="5"/>
        <v/>
      </c>
      <c r="T37" s="95">
        <v>97500.0</v>
      </c>
      <c r="U37" s="79" t="str">
        <f t="shared" si="6"/>
        <v/>
      </c>
      <c r="V37" s="88"/>
      <c r="W37" s="79" t="str">
        <f t="shared" si="7"/>
        <v/>
      </c>
      <c r="X37" s="88"/>
      <c r="Y37" s="86" t="str">
        <f t="shared" si="8"/>
        <v/>
      </c>
      <c r="Z37" s="91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12.75" hidden="1" customHeight="1">
      <c r="A38" s="9"/>
      <c r="B38" s="88" t="s">
        <v>232</v>
      </c>
      <c r="C38" s="90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4">
        <v>20.7</v>
      </c>
      <c r="S38" s="91" t="str">
        <f t="shared" si="5"/>
        <v/>
      </c>
      <c r="T38" s="95">
        <v>97500.0</v>
      </c>
      <c r="U38" s="79" t="str">
        <f t="shared" si="6"/>
        <v/>
      </c>
      <c r="V38" s="88"/>
      <c r="W38" s="79" t="str">
        <f t="shared" si="7"/>
        <v/>
      </c>
      <c r="X38" s="88"/>
      <c r="Y38" s="86" t="str">
        <f t="shared" si="8"/>
        <v/>
      </c>
      <c r="Z38" s="91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ht="12.75" hidden="1" customHeight="1">
      <c r="A39" s="9"/>
      <c r="B39" s="88" t="s">
        <v>233</v>
      </c>
      <c r="C39" s="90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4">
        <v>28.2</v>
      </c>
      <c r="S39" s="91" t="str">
        <f t="shared" si="5"/>
        <v/>
      </c>
      <c r="T39" s="95">
        <v>107000.0</v>
      </c>
      <c r="U39" s="79" t="str">
        <f t="shared" si="6"/>
        <v/>
      </c>
      <c r="V39" s="88"/>
      <c r="W39" s="79" t="str">
        <f t="shared" si="7"/>
        <v/>
      </c>
      <c r="X39" s="88"/>
      <c r="Y39" s="86" t="str">
        <f t="shared" si="8"/>
        <v/>
      </c>
      <c r="Z39" s="91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ht="12.75" hidden="1" customHeight="1">
      <c r="A40" s="9"/>
      <c r="B40" s="88" t="s">
        <v>234</v>
      </c>
      <c r="C40" s="90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4">
        <v>28.2</v>
      </c>
      <c r="S40" s="91" t="str">
        <f t="shared" si="5"/>
        <v/>
      </c>
      <c r="T40" s="95">
        <v>107000.0</v>
      </c>
      <c r="U40" s="79" t="str">
        <f t="shared" si="6"/>
        <v/>
      </c>
      <c r="V40" s="88"/>
      <c r="W40" s="79" t="str">
        <f t="shared" si="7"/>
        <v/>
      </c>
      <c r="X40" s="88"/>
      <c r="Y40" s="86" t="str">
        <f t="shared" si="8"/>
        <v/>
      </c>
      <c r="Z40" s="91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ht="12.75" hidden="1" customHeight="1">
      <c r="A41" s="9"/>
      <c r="B41" s="88" t="s">
        <v>235</v>
      </c>
      <c r="C41" s="90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4">
        <v>28.0</v>
      </c>
      <c r="S41" s="91" t="str">
        <f t="shared" si="5"/>
        <v/>
      </c>
      <c r="T41" s="95">
        <v>80700.0</v>
      </c>
      <c r="U41" s="79" t="str">
        <f t="shared" si="6"/>
        <v/>
      </c>
      <c r="V41" s="88"/>
      <c r="W41" s="79" t="str">
        <f t="shared" si="7"/>
        <v/>
      </c>
      <c r="X41" s="88"/>
      <c r="Y41" s="86" t="str">
        <f t="shared" si="8"/>
        <v/>
      </c>
      <c r="Z41" s="91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ht="12.75" hidden="1" customHeight="1">
      <c r="A42" s="9"/>
      <c r="B42" s="88" t="s">
        <v>236</v>
      </c>
      <c r="C42" s="90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4">
        <v>38.7</v>
      </c>
      <c r="S42" s="91" t="str">
        <f t="shared" si="5"/>
        <v/>
      </c>
      <c r="T42" s="95">
        <v>44400.0</v>
      </c>
      <c r="U42" s="79" t="str">
        <f t="shared" si="6"/>
        <v/>
      </c>
      <c r="V42" s="88"/>
      <c r="W42" s="79" t="str">
        <f t="shared" si="7"/>
        <v/>
      </c>
      <c r="X42" s="88"/>
      <c r="Y42" s="86" t="str">
        <f t="shared" si="8"/>
        <v/>
      </c>
      <c r="Z42" s="91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ht="12.75" hidden="1" customHeight="1">
      <c r="A43" s="9"/>
      <c r="B43" s="88" t="s">
        <v>237</v>
      </c>
      <c r="C43" s="90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4">
        <v>38.7</v>
      </c>
      <c r="S43" s="91" t="str">
        <f t="shared" si="5"/>
        <v/>
      </c>
      <c r="T43" s="95">
        <v>44400.0</v>
      </c>
      <c r="U43" s="79" t="str">
        <f t="shared" si="6"/>
        <v/>
      </c>
      <c r="V43" s="88"/>
      <c r="W43" s="79" t="str">
        <f t="shared" si="7"/>
        <v/>
      </c>
      <c r="X43" s="88"/>
      <c r="Y43" s="86" t="str">
        <f t="shared" si="8"/>
        <v/>
      </c>
      <c r="Z43" s="91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ht="12.75" hidden="1" customHeight="1">
      <c r="A44" s="9"/>
      <c r="B44" s="88" t="s">
        <v>238</v>
      </c>
      <c r="C44" s="90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4">
        <v>2.47</v>
      </c>
      <c r="S44" s="91" t="str">
        <f t="shared" si="5"/>
        <v/>
      </c>
      <c r="T44" s="95">
        <v>260000.0</v>
      </c>
      <c r="U44" s="79" t="str">
        <f t="shared" si="6"/>
        <v/>
      </c>
      <c r="V44" s="88"/>
      <c r="W44" s="79" t="str">
        <f t="shared" si="7"/>
        <v/>
      </c>
      <c r="X44" s="88"/>
      <c r="Y44" s="86" t="str">
        <f t="shared" si="8"/>
        <v/>
      </c>
      <c r="Z44" s="91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ht="12.75" hidden="1" customHeight="1">
      <c r="A45" s="9"/>
      <c r="B45" s="88" t="s">
        <v>239</v>
      </c>
      <c r="C45" s="90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4">
        <v>7.06</v>
      </c>
      <c r="S45" s="91" t="str">
        <f t="shared" si="5"/>
        <v/>
      </c>
      <c r="T45" s="95">
        <v>182000.0</v>
      </c>
      <c r="U45" s="79" t="str">
        <f t="shared" si="6"/>
        <v/>
      </c>
      <c r="V45" s="88"/>
      <c r="W45" s="79" t="str">
        <f t="shared" si="7"/>
        <v/>
      </c>
      <c r="X45" s="88"/>
      <c r="Y45" s="86" t="str">
        <f t="shared" si="8"/>
        <v/>
      </c>
      <c r="Z45" s="91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12.75" hidden="1" customHeight="1">
      <c r="A46" s="9"/>
      <c r="B46" s="139" t="s">
        <v>240</v>
      </c>
      <c r="C46" s="140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39"/>
      <c r="S46" s="141"/>
      <c r="T46" s="139"/>
      <c r="U46" s="141"/>
      <c r="V46" s="139"/>
      <c r="W46" s="141"/>
      <c r="X46" s="140"/>
      <c r="Y46" s="141"/>
      <c r="Z46" s="141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ht="12.75" hidden="1" customHeight="1">
      <c r="A47" s="9"/>
      <c r="B47" s="88" t="s">
        <v>241</v>
      </c>
      <c r="C47" s="90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79"/>
      <c r="R47" s="94">
        <v>48.0</v>
      </c>
      <c r="S47" s="91" t="str">
        <f>IF(Q47=0,"",Q47*R47)</f>
        <v/>
      </c>
      <c r="T47" s="95">
        <v>56100.0</v>
      </c>
      <c r="U47" s="79" t="str">
        <f t="shared" ref="U47:U51" si="9">IF(Q47=0,"",S47*T47/1000)</f>
        <v/>
      </c>
      <c r="V47" s="88"/>
      <c r="W47" s="79" t="str">
        <f t="shared" ref="W47:W51" si="10">IF(Q47=0,"",S47*V47/1000)</f>
        <v/>
      </c>
      <c r="X47" s="88"/>
      <c r="Y47" s="86" t="str">
        <f t="shared" ref="Y47:Y51" si="11">IF(Q47=0,"",S47*X47/1000)</f>
        <v/>
      </c>
      <c r="Z47" s="91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ht="12.75" hidden="1" customHeight="1">
      <c r="A48" s="9"/>
      <c r="B48" s="142" t="s">
        <v>242</v>
      </c>
      <c r="C48" s="143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2"/>
      <c r="S48" s="144"/>
      <c r="T48" s="142"/>
      <c r="U48" s="79" t="str">
        <f t="shared" si="9"/>
        <v/>
      </c>
      <c r="V48" s="142"/>
      <c r="W48" s="79" t="str">
        <f t="shared" si="10"/>
        <v/>
      </c>
      <c r="X48" s="143"/>
      <c r="Y48" s="86" t="str">
        <f t="shared" si="11"/>
        <v/>
      </c>
      <c r="Z48" s="144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ht="12.75" hidden="1" customHeight="1">
      <c r="A49" s="9"/>
      <c r="B49" s="88" t="s">
        <v>243</v>
      </c>
      <c r="C49" s="90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4">
        <v>10.0</v>
      </c>
      <c r="S49" s="91" t="str">
        <f t="shared" ref="S49:S51" si="12">IF(Q49=0,"",Q49*R49)</f>
        <v/>
      </c>
      <c r="T49" s="95">
        <v>91700.0</v>
      </c>
      <c r="U49" s="79" t="str">
        <f t="shared" si="9"/>
        <v/>
      </c>
      <c r="V49" s="88"/>
      <c r="W49" s="79" t="str">
        <f t="shared" si="10"/>
        <v/>
      </c>
      <c r="X49" s="88"/>
      <c r="Y49" s="86" t="str">
        <f t="shared" si="11"/>
        <v/>
      </c>
      <c r="Z49" s="91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ht="12.75" hidden="1" customHeight="1">
      <c r="A50" s="9"/>
      <c r="B50" s="88" t="s">
        <v>244</v>
      </c>
      <c r="C50" s="90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4"/>
      <c r="S50" s="91" t="str">
        <f t="shared" si="12"/>
        <v/>
      </c>
      <c r="T50" s="95">
        <v>143000.0</v>
      </c>
      <c r="U50" s="79" t="str">
        <f t="shared" si="9"/>
        <v/>
      </c>
      <c r="V50" s="88"/>
      <c r="W50" s="79" t="str">
        <f t="shared" si="10"/>
        <v/>
      </c>
      <c r="X50" s="88"/>
      <c r="Y50" s="86" t="str">
        <f t="shared" si="11"/>
        <v/>
      </c>
      <c r="Z50" s="91" t="str">
        <f>IF(R50=0,"",T50*Y50/10^6)</f>
        <v/>
      </c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ht="12.75" hidden="1" customHeight="1">
      <c r="A51" s="9"/>
      <c r="B51" s="88" t="s">
        <v>245</v>
      </c>
      <c r="C51" s="90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4">
        <v>40.2</v>
      </c>
      <c r="S51" s="91" t="str">
        <f t="shared" si="12"/>
        <v/>
      </c>
      <c r="T51" s="95">
        <v>73300.0</v>
      </c>
      <c r="U51" s="79" t="str">
        <f t="shared" si="9"/>
        <v/>
      </c>
      <c r="V51" s="88"/>
      <c r="W51" s="79" t="str">
        <f t="shared" si="10"/>
        <v/>
      </c>
      <c r="X51" s="88"/>
      <c r="Y51" s="86" t="str">
        <f t="shared" si="11"/>
        <v/>
      </c>
      <c r="Z51" s="91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ht="12.75" hidden="1" customHeight="1">
      <c r="A52" s="9"/>
      <c r="B52" s="139" t="s">
        <v>246</v>
      </c>
      <c r="C52" s="140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39"/>
      <c r="S52" s="141"/>
      <c r="T52" s="139"/>
      <c r="U52" s="141"/>
      <c r="V52" s="139"/>
      <c r="W52" s="141"/>
      <c r="X52" s="140"/>
      <c r="Y52" s="141"/>
      <c r="Z52" s="141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ht="12.75" hidden="1" customHeight="1">
      <c r="A53" s="9"/>
      <c r="B53" s="88" t="s">
        <v>246</v>
      </c>
      <c r="C53" s="90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144"/>
      <c r="R53" s="94">
        <v>9.76</v>
      </c>
      <c r="S53" s="91" t="str">
        <f>IF(Q53=0,"",Q53*R53)</f>
        <v/>
      </c>
      <c r="T53" s="95">
        <v>106000.0</v>
      </c>
      <c r="U53" s="79" t="str">
        <f>IF(Q53=0,"",S53*T53/1000)</f>
        <v/>
      </c>
      <c r="V53" s="88">
        <v>1.0</v>
      </c>
      <c r="W53" s="79" t="str">
        <f>IF(Q53=0,"",S53*V53/1000)</f>
        <v/>
      </c>
      <c r="X53" s="88">
        <v>1.5</v>
      </c>
      <c r="Y53" s="86" t="str">
        <f>IF(Q53=0,"",S53*X53/1000)</f>
        <v/>
      </c>
      <c r="Z53" s="131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21.0" hidden="1" customHeight="1">
      <c r="A54" s="9"/>
      <c r="B54" s="145" t="s">
        <v>247</v>
      </c>
      <c r="C54" s="146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5"/>
      <c r="S54" s="147"/>
      <c r="T54" s="145"/>
      <c r="U54" s="147">
        <f>SUM(U9:U29,U31:U45,U47,U49:U51,U53)</f>
        <v>528.113547</v>
      </c>
      <c r="V54" s="145"/>
      <c r="W54" s="147">
        <f>SUM(W9:W29,W31:W45,W47,W49:W51,W53)</f>
        <v>0.02823746556</v>
      </c>
      <c r="X54" s="145"/>
      <c r="Y54" s="147">
        <f>SUM(Y9:Y29,Y31:Y45,Y47,Y49:Y51,Y53)</f>
        <v>0.02778871301</v>
      </c>
      <c r="Z54" s="148">
        <f>U54+W54*28+Y54*273</f>
        <v>536.4905147</v>
      </c>
      <c r="AA54" s="149"/>
      <c r="AB54" s="9"/>
      <c r="AC54" s="9"/>
      <c r="AD54" s="9"/>
      <c r="AE54" s="9"/>
      <c r="AF54" s="9"/>
      <c r="AG54" s="9"/>
      <c r="AH54" s="9"/>
      <c r="AI54" s="9"/>
      <c r="AJ54" s="9"/>
    </row>
    <row r="55" ht="14.25" hidden="1" customHeight="1">
      <c r="A55" s="9"/>
      <c r="B55" s="150" t="s">
        <v>248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51" t="s">
        <v>249</v>
      </c>
      <c r="U55" s="18"/>
      <c r="V55" s="152"/>
      <c r="W55" s="17"/>
      <c r="X55" s="17"/>
      <c r="Y55" s="18"/>
      <c r="Z55" s="153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ht="12.75" hidden="1" customHeight="1">
      <c r="A56" s="9"/>
      <c r="B56" s="88" t="s">
        <v>250</v>
      </c>
      <c r="C56" s="90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4">
        <v>15.6</v>
      </c>
      <c r="S56" s="91" t="str">
        <f t="shared" ref="S56:S66" si="13">IF(Q56=0,"",Q56*R56)</f>
        <v/>
      </c>
      <c r="T56" s="88"/>
      <c r="U56" s="91"/>
      <c r="V56" s="88">
        <v>30.0</v>
      </c>
      <c r="W56" s="79" t="str">
        <f t="shared" ref="W56:W66" si="14">IF(Q56=0,"",S56*V56/1000)</f>
        <v/>
      </c>
      <c r="X56" s="88">
        <v>4.0</v>
      </c>
      <c r="Y56" s="86" t="str">
        <f t="shared" ref="Y56:Y66" si="15">IF(Q56=0,"",S56*X56/1000)</f>
        <v/>
      </c>
      <c r="Z56" s="71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ht="12.75" hidden="1" customHeight="1">
      <c r="A57" s="9"/>
      <c r="B57" s="88" t="s">
        <v>251</v>
      </c>
      <c r="C57" s="90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4">
        <v>11.8</v>
      </c>
      <c r="S57" s="91" t="str">
        <f t="shared" si="13"/>
        <v/>
      </c>
      <c r="T57" s="88"/>
      <c r="U57" s="91"/>
      <c r="V57" s="88">
        <v>3.0</v>
      </c>
      <c r="W57" s="79" t="str">
        <f t="shared" si="14"/>
        <v/>
      </c>
      <c r="X57" s="88">
        <v>2.0</v>
      </c>
      <c r="Y57" s="86" t="str">
        <f t="shared" si="15"/>
        <v/>
      </c>
      <c r="Z57" s="91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ht="12.75" hidden="1" customHeight="1">
      <c r="A58" s="9"/>
      <c r="B58" s="88" t="s">
        <v>252</v>
      </c>
      <c r="C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79"/>
      <c r="R58" s="94">
        <v>11.6</v>
      </c>
      <c r="S58" s="91" t="str">
        <f t="shared" si="13"/>
        <v/>
      </c>
      <c r="T58" s="88"/>
      <c r="U58" s="91"/>
      <c r="V58" s="155">
        <v>30.0</v>
      </c>
      <c r="W58" s="79" t="str">
        <f t="shared" si="14"/>
        <v/>
      </c>
      <c r="X58" s="88">
        <v>4.0</v>
      </c>
      <c r="Y58" s="86" t="str">
        <f t="shared" si="15"/>
        <v/>
      </c>
      <c r="Z58" s="91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ht="12.75" hidden="1" customHeight="1">
      <c r="A59" s="9"/>
      <c r="B59" s="88" t="s">
        <v>253</v>
      </c>
      <c r="C59" s="90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4">
        <v>41.868</v>
      </c>
      <c r="S59" s="91" t="str">
        <f t="shared" si="13"/>
        <v/>
      </c>
      <c r="T59" s="88"/>
      <c r="U59" s="91"/>
      <c r="V59" s="88">
        <v>200.0</v>
      </c>
      <c r="W59" s="79" t="str">
        <f t="shared" si="14"/>
        <v/>
      </c>
      <c r="X59" s="88">
        <v>4.0</v>
      </c>
      <c r="Y59" s="86" t="str">
        <f t="shared" si="15"/>
        <v/>
      </c>
      <c r="Z59" s="91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ht="12.75" hidden="1" customHeight="1">
      <c r="A60" s="9"/>
      <c r="B60" s="88" t="s">
        <v>255</v>
      </c>
      <c r="C60" s="90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4">
        <v>27.0</v>
      </c>
      <c r="S60" s="91" t="str">
        <f t="shared" si="13"/>
        <v/>
      </c>
      <c r="T60" s="88"/>
      <c r="U60" s="91"/>
      <c r="V60" s="88">
        <v>3.0</v>
      </c>
      <c r="W60" s="79" t="str">
        <f t="shared" si="14"/>
        <v/>
      </c>
      <c r="X60" s="88">
        <v>0.6</v>
      </c>
      <c r="Y60" s="86" t="str">
        <f t="shared" si="15"/>
        <v/>
      </c>
      <c r="Z60" s="91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ht="12.75" hidden="1" customHeight="1">
      <c r="A61" s="9"/>
      <c r="B61" s="88" t="s">
        <v>256</v>
      </c>
      <c r="C61" s="90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4">
        <v>27.0</v>
      </c>
      <c r="S61" s="91" t="str">
        <f t="shared" si="13"/>
        <v/>
      </c>
      <c r="T61" s="88"/>
      <c r="U61" s="91"/>
      <c r="V61" s="88">
        <v>3.0</v>
      </c>
      <c r="W61" s="79" t="str">
        <f t="shared" si="14"/>
        <v/>
      </c>
      <c r="X61" s="88">
        <v>0.6</v>
      </c>
      <c r="Y61" s="86" t="str">
        <f t="shared" si="15"/>
        <v/>
      </c>
      <c r="Z61" s="91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12.75" hidden="1" customHeight="1">
      <c r="A62" s="9"/>
      <c r="B62" s="88" t="s">
        <v>257</v>
      </c>
      <c r="C62" s="90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4">
        <v>27.4</v>
      </c>
      <c r="S62" s="91" t="str">
        <f t="shared" si="13"/>
        <v/>
      </c>
      <c r="T62" s="88"/>
      <c r="U62" s="91"/>
      <c r="V62" s="88">
        <v>3.0</v>
      </c>
      <c r="W62" s="79" t="str">
        <f t="shared" si="14"/>
        <v/>
      </c>
      <c r="X62" s="88">
        <v>0.6</v>
      </c>
      <c r="Y62" s="86" t="str">
        <f t="shared" si="15"/>
        <v/>
      </c>
      <c r="Z62" s="91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ht="12.75" hidden="1" customHeight="1">
      <c r="A63" s="9"/>
      <c r="B63" s="88" t="s">
        <v>258</v>
      </c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4">
        <v>50.4</v>
      </c>
      <c r="S63" s="91" t="str">
        <f t="shared" si="13"/>
        <v/>
      </c>
      <c r="T63" s="88"/>
      <c r="U63" s="91"/>
      <c r="V63" s="88">
        <v>1.0</v>
      </c>
      <c r="W63" s="79" t="str">
        <f t="shared" si="14"/>
        <v/>
      </c>
      <c r="X63" s="88">
        <v>0.1</v>
      </c>
      <c r="Y63" s="86" t="str">
        <f t="shared" si="15"/>
        <v/>
      </c>
      <c r="Z63" s="91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ht="12.75" hidden="1" customHeight="1">
      <c r="A64" s="9"/>
      <c r="B64" s="88" t="s">
        <v>259</v>
      </c>
      <c r="C64" s="90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4">
        <v>50.4</v>
      </c>
      <c r="S64" s="91" t="str">
        <f t="shared" si="13"/>
        <v/>
      </c>
      <c r="T64" s="88"/>
      <c r="U64" s="91"/>
      <c r="V64" s="88">
        <v>1.0</v>
      </c>
      <c r="W64" s="79" t="str">
        <f t="shared" si="14"/>
        <v/>
      </c>
      <c r="X64" s="88">
        <v>0.1</v>
      </c>
      <c r="Y64" s="86" t="str">
        <f t="shared" si="15"/>
        <v/>
      </c>
      <c r="Z64" s="91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ht="12.75" hidden="1" customHeight="1">
      <c r="A65" s="9"/>
      <c r="B65" s="88" t="s">
        <v>260</v>
      </c>
      <c r="C65" s="90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4">
        <v>50.4</v>
      </c>
      <c r="S65" s="91" t="str">
        <f t="shared" si="13"/>
        <v/>
      </c>
      <c r="T65" s="88"/>
      <c r="U65" s="91"/>
      <c r="V65" s="88">
        <v>1.0</v>
      </c>
      <c r="W65" s="79" t="str">
        <f t="shared" si="14"/>
        <v/>
      </c>
      <c r="X65" s="88">
        <v>0.1</v>
      </c>
      <c r="Y65" s="86" t="str">
        <f t="shared" si="15"/>
        <v/>
      </c>
      <c r="Z65" s="91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ht="12.75" hidden="1" customHeight="1">
      <c r="A66" s="9"/>
      <c r="B66" s="88" t="s">
        <v>261</v>
      </c>
      <c r="C66" s="90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4">
        <v>11.6</v>
      </c>
      <c r="S66" s="91" t="str">
        <f t="shared" si="13"/>
        <v/>
      </c>
      <c r="T66" s="88"/>
      <c r="U66" s="91"/>
      <c r="V66" s="88">
        <v>30.0</v>
      </c>
      <c r="W66" s="79" t="str">
        <f t="shared" si="14"/>
        <v/>
      </c>
      <c r="X66" s="88">
        <v>4.0</v>
      </c>
      <c r="Y66" s="86" t="str">
        <f t="shared" si="15"/>
        <v/>
      </c>
      <c r="Z66" s="91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ht="21.0" customHeight="1">
      <c r="A67" s="156"/>
      <c r="B67" s="15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8"/>
      <c r="T67" s="158" t="s">
        <v>247</v>
      </c>
      <c r="U67" s="147">
        <f>U54</f>
        <v>528.113547</v>
      </c>
      <c r="V67" s="158" t="s">
        <v>247</v>
      </c>
      <c r="W67" s="147">
        <f>SUM(W54,W56:W66)</f>
        <v>0.02823746556</v>
      </c>
      <c r="X67" s="158" t="s">
        <v>247</v>
      </c>
      <c r="Y67" s="147">
        <f>SUM(Y54,Y56:Y66)</f>
        <v>0.02778871301</v>
      </c>
      <c r="Z67" s="147">
        <f>U67+W67*28+Y67*273</f>
        <v>536.4905147</v>
      </c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ht="12.75" customHeight="1">
      <c r="A68" s="9"/>
      <c r="B68" s="9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9"/>
      <c r="S68" s="11"/>
      <c r="T68" s="9"/>
      <c r="U68" s="11"/>
      <c r="V68" s="9"/>
      <c r="W68" s="11"/>
      <c r="X68" s="9"/>
      <c r="Y68" s="11"/>
      <c r="Z68" s="11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ht="12.75" customHeight="1">
      <c r="A69" s="159"/>
      <c r="B69" s="159"/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 t="s">
        <v>262</v>
      </c>
      <c r="R69" s="159"/>
      <c r="S69" s="161"/>
      <c r="T69" s="159"/>
      <c r="U69" s="161"/>
      <c r="V69" s="159"/>
      <c r="W69" s="161"/>
      <c r="X69" s="159"/>
      <c r="Y69" s="161"/>
      <c r="Z69" s="161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</row>
    <row r="70" ht="12.75" customHeight="1">
      <c r="A70" s="159"/>
      <c r="B70" s="159"/>
      <c r="C70" s="160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2" t="s">
        <v>263</v>
      </c>
      <c r="R70" s="159"/>
      <c r="S70" s="161"/>
      <c r="T70" s="163" t="s">
        <v>264</v>
      </c>
      <c r="U70" s="161"/>
      <c r="V70" s="159"/>
      <c r="W70" s="162" t="s">
        <v>265</v>
      </c>
      <c r="X70" s="159"/>
      <c r="Y70" s="162" t="s">
        <v>266</v>
      </c>
      <c r="Z70" s="162" t="s">
        <v>266</v>
      </c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</row>
    <row r="71" ht="12.75" customHeight="1">
      <c r="A71" s="159"/>
      <c r="B71" s="159"/>
      <c r="C71" s="160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59"/>
      <c r="S71" s="161"/>
      <c r="T71" s="163" t="s">
        <v>267</v>
      </c>
      <c r="U71" s="161"/>
      <c r="V71" s="159"/>
      <c r="W71" s="162" t="s">
        <v>268</v>
      </c>
      <c r="X71" s="159"/>
      <c r="Y71" s="162" t="s">
        <v>269</v>
      </c>
      <c r="Z71" s="162" t="s">
        <v>269</v>
      </c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</row>
    <row r="72" ht="12.75" customHeight="1">
      <c r="A72" s="159"/>
      <c r="B72" s="159"/>
      <c r="C72" s="160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59"/>
      <c r="S72" s="161"/>
      <c r="T72" s="159"/>
      <c r="U72" s="161"/>
      <c r="V72" s="159"/>
      <c r="W72" s="161"/>
      <c r="X72" s="159"/>
      <c r="Y72" s="161"/>
      <c r="Z72" s="161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</row>
    <row r="73" ht="12.75" customHeight="1">
      <c r="A73" s="159"/>
      <c r="B73" s="159"/>
      <c r="C73" s="160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59"/>
      <c r="S73" s="161"/>
      <c r="T73" s="164" t="s">
        <v>270</v>
      </c>
      <c r="U73" s="161"/>
      <c r="V73" s="159"/>
      <c r="W73" s="165" t="s">
        <v>271</v>
      </c>
      <c r="X73" s="159"/>
      <c r="Y73" s="161"/>
      <c r="Z73" s="161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</row>
    <row r="74" ht="12.75" customHeight="1">
      <c r="A74" s="159"/>
      <c r="B74" s="159"/>
      <c r="C74" s="160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59"/>
      <c r="S74" s="161"/>
      <c r="T74" s="159" t="s">
        <v>272</v>
      </c>
      <c r="U74" s="161"/>
      <c r="V74" s="159"/>
      <c r="W74" s="165" t="s">
        <v>273</v>
      </c>
      <c r="X74" s="159"/>
      <c r="Y74" s="161"/>
      <c r="Z74" s="161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</row>
    <row r="75" ht="12.75" customHeight="1">
      <c r="A75" s="159"/>
      <c r="B75" s="159"/>
      <c r="C75" s="160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59"/>
      <c r="S75" s="161"/>
      <c r="T75" s="159" t="s">
        <v>274</v>
      </c>
      <c r="U75" s="161"/>
      <c r="V75" s="159"/>
      <c r="W75" s="165" t="s">
        <v>275</v>
      </c>
      <c r="X75" s="159"/>
      <c r="Y75" s="161"/>
      <c r="Z75" s="161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</row>
    <row r="76" ht="12.75" customHeight="1">
      <c r="A76" s="159"/>
      <c r="B76" s="159"/>
      <c r="C76" s="160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59"/>
      <c r="S76" s="161"/>
      <c r="T76" s="159" t="s">
        <v>276</v>
      </c>
      <c r="U76" s="161"/>
      <c r="V76" s="159"/>
      <c r="W76" s="165" t="s">
        <v>277</v>
      </c>
      <c r="X76" s="159"/>
      <c r="Y76" s="161"/>
      <c r="Z76" s="161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</row>
    <row r="77" ht="12.75" customHeight="1">
      <c r="A77" s="159"/>
      <c r="B77" s="159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59"/>
      <c r="S77" s="161"/>
      <c r="T77" s="159" t="s">
        <v>278</v>
      </c>
      <c r="U77" s="161"/>
      <c r="V77" s="159"/>
      <c r="W77" s="161"/>
      <c r="X77" s="159"/>
      <c r="Y77" s="161"/>
      <c r="Z77" s="161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</row>
    <row r="78" ht="12.75" customHeight="1">
      <c r="A78" s="9"/>
      <c r="B78" s="9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9"/>
      <c r="S78" s="11"/>
      <c r="T78" s="9"/>
      <c r="U78" s="11"/>
      <c r="V78" s="9"/>
      <c r="W78" s="11"/>
      <c r="X78" s="9"/>
      <c r="Y78" s="11"/>
      <c r="Z78" s="161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ht="12.75" customHeight="1">
      <c r="A79" s="9"/>
      <c r="B79" s="9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9"/>
      <c r="S79" s="11"/>
      <c r="T79" s="9"/>
      <c r="U79" s="11"/>
      <c r="V79" s="9"/>
      <c r="W79" s="11"/>
      <c r="X79" s="9"/>
      <c r="Y79" s="11"/>
      <c r="Z79" s="161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ht="12.75" customHeight="1">
      <c r="A80" s="9"/>
      <c r="B80" s="9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9"/>
      <c r="S80" s="11"/>
      <c r="T80" s="9"/>
      <c r="U80" s="11"/>
      <c r="V80" s="9"/>
      <c r="W80" s="11"/>
      <c r="X80" s="9"/>
      <c r="Y80" s="11"/>
      <c r="Z80" s="161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ht="12.75" customHeight="1">
      <c r="A81" s="9"/>
      <c r="B81" s="9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9"/>
      <c r="S81" s="11"/>
      <c r="T81" s="9"/>
      <c r="U81" s="11"/>
      <c r="V81" s="9"/>
      <c r="W81" s="11"/>
      <c r="X81" s="9"/>
      <c r="Y81" s="11"/>
      <c r="Z81" s="161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ht="12.75" customHeight="1">
      <c r="A82" s="9"/>
      <c r="B82" s="9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9"/>
      <c r="S82" s="11"/>
      <c r="T82" s="9"/>
      <c r="U82" s="11"/>
      <c r="V82" s="9"/>
      <c r="W82" s="11"/>
      <c r="X82" s="9"/>
      <c r="Y82" s="11"/>
      <c r="Z82" s="11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ht="12.75" customHeight="1">
      <c r="A83" s="9"/>
      <c r="B83" s="9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9"/>
      <c r="S83" s="11"/>
      <c r="T83" s="9"/>
      <c r="U83" s="11"/>
      <c r="V83" s="9"/>
      <c r="W83" s="11"/>
      <c r="X83" s="9"/>
      <c r="Y83" s="11"/>
      <c r="Z83" s="11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ht="12.75" customHeight="1">
      <c r="A84" s="9"/>
      <c r="B84" s="9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9"/>
      <c r="S84" s="11"/>
      <c r="T84" s="9"/>
      <c r="U84" s="11"/>
      <c r="V84" s="9"/>
      <c r="W84" s="11"/>
      <c r="X84" s="9"/>
      <c r="Y84" s="11"/>
      <c r="Z84" s="11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ht="12.75" customHeight="1">
      <c r="A85" s="9"/>
      <c r="B85" s="9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9"/>
      <c r="S85" s="11"/>
      <c r="T85" s="9"/>
      <c r="U85" s="11"/>
      <c r="V85" s="9"/>
      <c r="W85" s="11"/>
      <c r="X85" s="9"/>
      <c r="Y85" s="11"/>
      <c r="Z85" s="11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12.75" customHeight="1">
      <c r="A86" s="9"/>
      <c r="B86" s="9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9"/>
      <c r="S86" s="11"/>
      <c r="T86" s="9"/>
      <c r="U86" s="11"/>
      <c r="V86" s="9"/>
      <c r="W86" s="11"/>
      <c r="X86" s="9"/>
      <c r="Y86" s="11"/>
      <c r="Z86" s="11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ht="12.75" customHeight="1">
      <c r="A87" s="9"/>
      <c r="B87" s="9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9"/>
      <c r="S87" s="11"/>
      <c r="T87" s="9"/>
      <c r="U87" s="11"/>
      <c r="V87" s="9"/>
      <c r="W87" s="11"/>
      <c r="X87" s="9"/>
      <c r="Y87" s="11"/>
      <c r="Z87" s="11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ht="12.75" customHeight="1">
      <c r="A88" s="9"/>
      <c r="B88" s="9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9"/>
      <c r="S88" s="11"/>
      <c r="T88" s="9"/>
      <c r="U88" s="11"/>
      <c r="V88" s="9"/>
      <c r="W88" s="11"/>
      <c r="X88" s="9"/>
      <c r="Y88" s="11"/>
      <c r="Z88" s="11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ht="12.75" customHeight="1">
      <c r="A89" s="9"/>
      <c r="B89" s="9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9"/>
      <c r="S89" s="11"/>
      <c r="T89" s="9"/>
      <c r="U89" s="11"/>
      <c r="V89" s="9"/>
      <c r="W89" s="11"/>
      <c r="X89" s="9"/>
      <c r="Y89" s="11"/>
      <c r="Z89" s="11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ht="12.75" customHeight="1">
      <c r="A90" s="9"/>
      <c r="B90" s="9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9"/>
      <c r="S90" s="11"/>
      <c r="T90" s="9"/>
      <c r="U90" s="11"/>
      <c r="V90" s="9"/>
      <c r="W90" s="11"/>
      <c r="X90" s="9"/>
      <c r="Y90" s="11"/>
      <c r="Z90" s="11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ht="12.75" customHeight="1">
      <c r="A91" s="9"/>
      <c r="B91" s="9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9"/>
      <c r="S91" s="11"/>
      <c r="T91" s="9"/>
      <c r="U91" s="11"/>
      <c r="V91" s="9"/>
      <c r="W91" s="11"/>
      <c r="X91" s="9"/>
      <c r="Y91" s="11"/>
      <c r="Z91" s="11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ht="12.75" customHeight="1">
      <c r="A92" s="9"/>
      <c r="B92" s="9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9"/>
      <c r="S92" s="11"/>
      <c r="T92" s="9"/>
      <c r="U92" s="11"/>
      <c r="V92" s="9"/>
      <c r="W92" s="11"/>
      <c r="X92" s="9"/>
      <c r="Y92" s="11"/>
      <c r="Z92" s="11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ht="12.75" customHeight="1">
      <c r="A93" s="9"/>
      <c r="B93" s="9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9"/>
      <c r="S93" s="11"/>
      <c r="T93" s="9"/>
      <c r="U93" s="11"/>
      <c r="V93" s="9"/>
      <c r="W93" s="11"/>
      <c r="X93" s="9"/>
      <c r="Y93" s="11"/>
      <c r="Z93" s="11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12.75" customHeight="1">
      <c r="A94" s="9"/>
      <c r="B94" s="9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9"/>
      <c r="S94" s="11"/>
      <c r="T94" s="9"/>
      <c r="U94" s="11"/>
      <c r="V94" s="9"/>
      <c r="W94" s="11"/>
      <c r="X94" s="9"/>
      <c r="Y94" s="11"/>
      <c r="Z94" s="11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ht="12.75" customHeight="1">
      <c r="A95" s="9"/>
      <c r="B95" s="9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9"/>
      <c r="S95" s="11"/>
      <c r="T95" s="9"/>
      <c r="U95" s="11"/>
      <c r="V95" s="9"/>
      <c r="W95" s="11"/>
      <c r="X95" s="9"/>
      <c r="Y95" s="11"/>
      <c r="Z95" s="11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ht="12.75" customHeight="1">
      <c r="A96" s="9"/>
      <c r="B96" s="9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9"/>
      <c r="S96" s="11"/>
      <c r="T96" s="9"/>
      <c r="U96" s="11"/>
      <c r="V96" s="9"/>
      <c r="W96" s="11"/>
      <c r="X96" s="9"/>
      <c r="Y96" s="11"/>
      <c r="Z96" s="11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ht="12.75" customHeight="1">
      <c r="A97" s="9"/>
      <c r="B97" s="9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9"/>
      <c r="S97" s="11"/>
      <c r="T97" s="9"/>
      <c r="U97" s="11"/>
      <c r="V97" s="9"/>
      <c r="W97" s="11"/>
      <c r="X97" s="9"/>
      <c r="Y97" s="11"/>
      <c r="Z97" s="11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ht="12.75" customHeight="1">
      <c r="A98" s="9"/>
      <c r="B98" s="9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9"/>
      <c r="S98" s="11"/>
      <c r="T98" s="9"/>
      <c r="U98" s="11"/>
      <c r="V98" s="9"/>
      <c r="W98" s="11"/>
      <c r="X98" s="9"/>
      <c r="Y98" s="11"/>
      <c r="Z98" s="11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ht="12.75" customHeight="1">
      <c r="A99" s="9"/>
      <c r="B99" s="9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9"/>
      <c r="S99" s="11"/>
      <c r="T99" s="9"/>
      <c r="U99" s="11"/>
      <c r="V99" s="9"/>
      <c r="W99" s="11"/>
      <c r="X99" s="9"/>
      <c r="Y99" s="11"/>
      <c r="Z99" s="11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ht="12.75" customHeight="1">
      <c r="A100" s="9"/>
      <c r="B100" s="9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9"/>
      <c r="S100" s="11"/>
      <c r="T100" s="9"/>
      <c r="U100" s="11"/>
      <c r="V100" s="9"/>
      <c r="W100" s="11"/>
      <c r="X100" s="9"/>
      <c r="Y100" s="11"/>
      <c r="Z100" s="11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ht="12.75" customHeight="1">
      <c r="A101" s="9"/>
      <c r="B101" s="9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9"/>
      <c r="S101" s="11"/>
      <c r="T101" s="9"/>
      <c r="U101" s="11"/>
      <c r="V101" s="9"/>
      <c r="W101" s="11"/>
      <c r="X101" s="9"/>
      <c r="Y101" s="11"/>
      <c r="Z101" s="11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12.75" customHeight="1">
      <c r="A102" s="9"/>
      <c r="B102" s="9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9"/>
      <c r="S102" s="11"/>
      <c r="T102" s="9"/>
      <c r="U102" s="11"/>
      <c r="V102" s="9"/>
      <c r="W102" s="11"/>
      <c r="X102" s="9"/>
      <c r="Y102" s="11"/>
      <c r="Z102" s="11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ht="12.75" customHeight="1">
      <c r="A103" s="9"/>
      <c r="B103" s="9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9"/>
      <c r="S103" s="11"/>
      <c r="T103" s="9"/>
      <c r="U103" s="11"/>
      <c r="V103" s="9"/>
      <c r="W103" s="11"/>
      <c r="X103" s="9"/>
      <c r="Y103" s="11"/>
      <c r="Z103" s="11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ht="12.75" customHeight="1">
      <c r="A104" s="9"/>
      <c r="B104" s="9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9"/>
      <c r="S104" s="11"/>
      <c r="T104" s="9"/>
      <c r="U104" s="11"/>
      <c r="V104" s="9"/>
      <c r="W104" s="11"/>
      <c r="X104" s="9"/>
      <c r="Y104" s="11"/>
      <c r="Z104" s="11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ht="12.75" customHeight="1">
      <c r="A105" s="9"/>
      <c r="B105" s="9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9"/>
      <c r="S105" s="11"/>
      <c r="T105" s="9"/>
      <c r="U105" s="11"/>
      <c r="V105" s="9"/>
      <c r="W105" s="11"/>
      <c r="X105" s="9"/>
      <c r="Y105" s="11"/>
      <c r="Z105" s="11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ht="12.75" customHeight="1">
      <c r="A106" s="9"/>
      <c r="B106" s="9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9"/>
      <c r="S106" s="11"/>
      <c r="T106" s="9"/>
      <c r="U106" s="11"/>
      <c r="V106" s="9"/>
      <c r="W106" s="11"/>
      <c r="X106" s="9"/>
      <c r="Y106" s="11"/>
      <c r="Z106" s="11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ht="12.75" customHeight="1">
      <c r="A107" s="9"/>
      <c r="B107" s="9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9"/>
      <c r="S107" s="11"/>
      <c r="T107" s="9"/>
      <c r="U107" s="11"/>
      <c r="V107" s="9"/>
      <c r="W107" s="11"/>
      <c r="X107" s="9"/>
      <c r="Y107" s="11"/>
      <c r="Z107" s="11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ht="12.75" customHeight="1">
      <c r="A108" s="9"/>
      <c r="B108" s="9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9"/>
      <c r="S108" s="11"/>
      <c r="T108" s="9"/>
      <c r="U108" s="11"/>
      <c r="V108" s="9"/>
      <c r="W108" s="11"/>
      <c r="X108" s="9"/>
      <c r="Y108" s="11"/>
      <c r="Z108" s="11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ht="12.75" customHeight="1">
      <c r="A109" s="9"/>
      <c r="B109" s="9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9"/>
      <c r="S109" s="11"/>
      <c r="T109" s="9"/>
      <c r="U109" s="11"/>
      <c r="V109" s="9"/>
      <c r="W109" s="11"/>
      <c r="X109" s="9"/>
      <c r="Y109" s="11"/>
      <c r="Z109" s="11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12.75" customHeight="1">
      <c r="A110" s="9"/>
      <c r="B110" s="9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9"/>
      <c r="S110" s="11"/>
      <c r="T110" s="9"/>
      <c r="U110" s="11"/>
      <c r="V110" s="9"/>
      <c r="W110" s="11"/>
      <c r="X110" s="9"/>
      <c r="Y110" s="11"/>
      <c r="Z110" s="11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ht="12.75" customHeight="1">
      <c r="A111" s="9"/>
      <c r="B111" s="9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9"/>
      <c r="S111" s="11"/>
      <c r="T111" s="9"/>
      <c r="U111" s="11"/>
      <c r="V111" s="9"/>
      <c r="W111" s="11"/>
      <c r="X111" s="9"/>
      <c r="Y111" s="11"/>
      <c r="Z111" s="11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ht="12.75" customHeight="1">
      <c r="A112" s="9"/>
      <c r="B112" s="9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9"/>
      <c r="S112" s="11"/>
      <c r="T112" s="9"/>
      <c r="U112" s="11"/>
      <c r="V112" s="9"/>
      <c r="W112" s="11"/>
      <c r="X112" s="9"/>
      <c r="Y112" s="11"/>
      <c r="Z112" s="11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ht="12.75" customHeight="1">
      <c r="A113" s="9"/>
      <c r="B113" s="9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9"/>
      <c r="S113" s="11"/>
      <c r="T113" s="9"/>
      <c r="U113" s="11"/>
      <c r="V113" s="9"/>
      <c r="W113" s="11"/>
      <c r="X113" s="9"/>
      <c r="Y113" s="11"/>
      <c r="Z113" s="11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ht="12.75" customHeight="1">
      <c r="A114" s="9"/>
      <c r="B114" s="9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9"/>
      <c r="S114" s="11"/>
      <c r="T114" s="9"/>
      <c r="U114" s="11"/>
      <c r="V114" s="9"/>
      <c r="W114" s="11"/>
      <c r="X114" s="9"/>
      <c r="Y114" s="11"/>
      <c r="Z114" s="11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ht="12.75" customHeight="1">
      <c r="A115" s="9"/>
      <c r="B115" s="9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9"/>
      <c r="S115" s="11"/>
      <c r="T115" s="9"/>
      <c r="U115" s="11"/>
      <c r="V115" s="9"/>
      <c r="W115" s="11"/>
      <c r="X115" s="9"/>
      <c r="Y115" s="11"/>
      <c r="Z115" s="11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ht="12.75" customHeight="1">
      <c r="A116" s="9"/>
      <c r="B116" s="9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9"/>
      <c r="S116" s="11"/>
      <c r="T116" s="9"/>
      <c r="U116" s="11"/>
      <c r="V116" s="9"/>
      <c r="W116" s="11"/>
      <c r="X116" s="9"/>
      <c r="Y116" s="11"/>
      <c r="Z116" s="11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ht="12.75" customHeight="1">
      <c r="A117" s="9"/>
      <c r="B117" s="9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9"/>
      <c r="S117" s="11"/>
      <c r="T117" s="9"/>
      <c r="U117" s="11"/>
      <c r="V117" s="9"/>
      <c r="W117" s="11"/>
      <c r="X117" s="9"/>
      <c r="Y117" s="11"/>
      <c r="Z117" s="11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12.75" customHeight="1">
      <c r="A118" s="9"/>
      <c r="B118" s="9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9"/>
      <c r="S118" s="11"/>
      <c r="T118" s="9"/>
      <c r="U118" s="11"/>
      <c r="V118" s="9"/>
      <c r="W118" s="11"/>
      <c r="X118" s="9"/>
      <c r="Y118" s="11"/>
      <c r="Z118" s="11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ht="12.75" customHeight="1">
      <c r="A119" s="9"/>
      <c r="B119" s="9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9"/>
      <c r="S119" s="11"/>
      <c r="T119" s="9"/>
      <c r="U119" s="11"/>
      <c r="V119" s="9"/>
      <c r="W119" s="11"/>
      <c r="X119" s="9"/>
      <c r="Y119" s="11"/>
      <c r="Z119" s="11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ht="12.75" customHeight="1">
      <c r="A120" s="9"/>
      <c r="B120" s="9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9"/>
      <c r="S120" s="11"/>
      <c r="T120" s="9"/>
      <c r="U120" s="11"/>
      <c r="V120" s="9"/>
      <c r="W120" s="11"/>
      <c r="X120" s="9"/>
      <c r="Y120" s="11"/>
      <c r="Z120" s="11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ht="12.75" customHeight="1">
      <c r="A121" s="9"/>
      <c r="B121" s="9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9"/>
      <c r="S121" s="11"/>
      <c r="T121" s="9"/>
      <c r="U121" s="11"/>
      <c r="V121" s="9"/>
      <c r="W121" s="11"/>
      <c r="X121" s="9"/>
      <c r="Y121" s="11"/>
      <c r="Z121" s="11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ht="12.75" customHeight="1">
      <c r="A122" s="9"/>
      <c r="B122" s="9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9"/>
      <c r="S122" s="11"/>
      <c r="T122" s="9"/>
      <c r="U122" s="11"/>
      <c r="V122" s="9"/>
      <c r="W122" s="11"/>
      <c r="X122" s="9"/>
      <c r="Y122" s="11"/>
      <c r="Z122" s="11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ht="12.75" customHeight="1">
      <c r="A123" s="9"/>
      <c r="B123" s="9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9"/>
      <c r="S123" s="11"/>
      <c r="T123" s="9"/>
      <c r="U123" s="11"/>
      <c r="V123" s="9"/>
      <c r="W123" s="11"/>
      <c r="X123" s="9"/>
      <c r="Y123" s="11"/>
      <c r="Z123" s="11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ht="12.75" customHeight="1">
      <c r="A124" s="9"/>
      <c r="B124" s="9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9"/>
      <c r="S124" s="11"/>
      <c r="T124" s="9"/>
      <c r="U124" s="11"/>
      <c r="V124" s="9"/>
      <c r="W124" s="11"/>
      <c r="X124" s="9"/>
      <c r="Y124" s="11"/>
      <c r="Z124" s="11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ht="12.75" customHeight="1">
      <c r="A125" s="9"/>
      <c r="B125" s="9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9"/>
      <c r="S125" s="11"/>
      <c r="T125" s="9"/>
      <c r="U125" s="11"/>
      <c r="V125" s="9"/>
      <c r="W125" s="11"/>
      <c r="X125" s="9"/>
      <c r="Y125" s="11"/>
      <c r="Z125" s="11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12.75" customHeight="1">
      <c r="A126" s="9"/>
      <c r="B126" s="9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9"/>
      <c r="S126" s="11"/>
      <c r="T126" s="9"/>
      <c r="U126" s="11"/>
      <c r="V126" s="9"/>
      <c r="W126" s="11"/>
      <c r="X126" s="9"/>
      <c r="Y126" s="11"/>
      <c r="Z126" s="11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ht="12.75" customHeight="1">
      <c r="A127" s="9"/>
      <c r="B127" s="9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9"/>
      <c r="S127" s="11"/>
      <c r="T127" s="9"/>
      <c r="U127" s="11"/>
      <c r="V127" s="9"/>
      <c r="W127" s="11"/>
      <c r="X127" s="9"/>
      <c r="Y127" s="11"/>
      <c r="Z127" s="11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ht="12.75" customHeight="1">
      <c r="A128" s="9"/>
      <c r="B128" s="9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9"/>
      <c r="S128" s="11"/>
      <c r="T128" s="9"/>
      <c r="U128" s="11"/>
      <c r="V128" s="9"/>
      <c r="W128" s="11"/>
      <c r="X128" s="9"/>
      <c r="Y128" s="11"/>
      <c r="Z128" s="11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ht="12.75" customHeight="1">
      <c r="A129" s="9"/>
      <c r="B129" s="9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9"/>
      <c r="S129" s="11"/>
      <c r="T129" s="9"/>
      <c r="U129" s="11"/>
      <c r="V129" s="9"/>
      <c r="W129" s="11"/>
      <c r="X129" s="9"/>
      <c r="Y129" s="11"/>
      <c r="Z129" s="11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ht="12.75" customHeight="1">
      <c r="A130" s="9"/>
      <c r="B130" s="9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9"/>
      <c r="S130" s="11"/>
      <c r="T130" s="9"/>
      <c r="U130" s="11"/>
      <c r="V130" s="9"/>
      <c r="W130" s="11"/>
      <c r="X130" s="9"/>
      <c r="Y130" s="11"/>
      <c r="Z130" s="11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ht="12.75" customHeight="1">
      <c r="A131" s="9"/>
      <c r="B131" s="9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9"/>
      <c r="S131" s="11"/>
      <c r="T131" s="9"/>
      <c r="U131" s="11"/>
      <c r="V131" s="9"/>
      <c r="W131" s="11"/>
      <c r="X131" s="9"/>
      <c r="Y131" s="11"/>
      <c r="Z131" s="11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ht="12.75" customHeight="1">
      <c r="A132" s="9"/>
      <c r="B132" s="9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9"/>
      <c r="S132" s="11"/>
      <c r="T132" s="9"/>
      <c r="U132" s="11"/>
      <c r="V132" s="9"/>
      <c r="W132" s="11"/>
      <c r="X132" s="9"/>
      <c r="Y132" s="11"/>
      <c r="Z132" s="11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ht="12.75" customHeight="1">
      <c r="A133" s="9"/>
      <c r="B133" s="9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9"/>
      <c r="S133" s="11"/>
      <c r="T133" s="9"/>
      <c r="U133" s="11"/>
      <c r="V133" s="9"/>
      <c r="W133" s="11"/>
      <c r="X133" s="9"/>
      <c r="Y133" s="11"/>
      <c r="Z133" s="11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12.75" customHeight="1">
      <c r="A134" s="9"/>
      <c r="B134" s="9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9"/>
      <c r="S134" s="11"/>
      <c r="T134" s="9"/>
      <c r="U134" s="11"/>
      <c r="V134" s="9"/>
      <c r="W134" s="11"/>
      <c r="X134" s="9"/>
      <c r="Y134" s="11"/>
      <c r="Z134" s="11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ht="12.75" customHeight="1">
      <c r="A135" s="9"/>
      <c r="B135" s="9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9"/>
      <c r="S135" s="11"/>
      <c r="T135" s="9"/>
      <c r="U135" s="11"/>
      <c r="V135" s="9"/>
      <c r="W135" s="11"/>
      <c r="X135" s="9"/>
      <c r="Y135" s="11"/>
      <c r="Z135" s="11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ht="12.75" customHeight="1">
      <c r="A136" s="9"/>
      <c r="B136" s="9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9"/>
      <c r="S136" s="11"/>
      <c r="T136" s="9"/>
      <c r="U136" s="11"/>
      <c r="V136" s="9"/>
      <c r="W136" s="11"/>
      <c r="X136" s="9"/>
      <c r="Y136" s="11"/>
      <c r="Z136" s="11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ht="12.75" customHeight="1">
      <c r="A137" s="9"/>
      <c r="B137" s="9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9"/>
      <c r="S137" s="11"/>
      <c r="T137" s="9"/>
      <c r="U137" s="11"/>
      <c r="V137" s="9"/>
      <c r="W137" s="11"/>
      <c r="X137" s="9"/>
      <c r="Y137" s="11"/>
      <c r="Z137" s="11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ht="12.75" customHeight="1">
      <c r="A138" s="9"/>
      <c r="B138" s="9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9"/>
      <c r="S138" s="11"/>
      <c r="T138" s="9"/>
      <c r="U138" s="11"/>
      <c r="V138" s="9"/>
      <c r="W138" s="11"/>
      <c r="X138" s="9"/>
      <c r="Y138" s="11"/>
      <c r="Z138" s="11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ht="12.75" customHeight="1">
      <c r="A139" s="9"/>
      <c r="B139" s="9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9"/>
      <c r="S139" s="11"/>
      <c r="T139" s="9"/>
      <c r="U139" s="11"/>
      <c r="V139" s="9"/>
      <c r="W139" s="11"/>
      <c r="X139" s="9"/>
      <c r="Y139" s="11"/>
      <c r="Z139" s="11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ht="12.75" customHeight="1">
      <c r="A140" s="9"/>
      <c r="B140" s="9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9"/>
      <c r="S140" s="11"/>
      <c r="T140" s="9"/>
      <c r="U140" s="11"/>
      <c r="V140" s="9"/>
      <c r="W140" s="11"/>
      <c r="X140" s="9"/>
      <c r="Y140" s="11"/>
      <c r="Z140" s="11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ht="12.75" customHeight="1">
      <c r="A141" s="9"/>
      <c r="B141" s="9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9"/>
      <c r="S141" s="11"/>
      <c r="T141" s="9"/>
      <c r="U141" s="11"/>
      <c r="V141" s="9"/>
      <c r="W141" s="11"/>
      <c r="X141" s="9"/>
      <c r="Y141" s="11"/>
      <c r="Z141" s="11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12.75" customHeight="1">
      <c r="A142" s="9"/>
      <c r="B142" s="9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9"/>
      <c r="S142" s="11"/>
      <c r="T142" s="9"/>
      <c r="U142" s="11"/>
      <c r="V142" s="9"/>
      <c r="W142" s="11"/>
      <c r="X142" s="9"/>
      <c r="Y142" s="11"/>
      <c r="Z142" s="11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ht="12.75" customHeight="1">
      <c r="A143" s="9"/>
      <c r="B143" s="9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9"/>
      <c r="S143" s="11"/>
      <c r="T143" s="9"/>
      <c r="U143" s="11"/>
      <c r="V143" s="9"/>
      <c r="W143" s="11"/>
      <c r="X143" s="9"/>
      <c r="Y143" s="11"/>
      <c r="Z143" s="11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ht="12.75" customHeight="1">
      <c r="A144" s="9"/>
      <c r="B144" s="9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9"/>
      <c r="S144" s="11"/>
      <c r="T144" s="9"/>
      <c r="U144" s="11"/>
      <c r="V144" s="9"/>
      <c r="W144" s="11"/>
      <c r="X144" s="9"/>
      <c r="Y144" s="11"/>
      <c r="Z144" s="11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ht="12.75" customHeight="1">
      <c r="A145" s="9"/>
      <c r="B145" s="9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9"/>
      <c r="S145" s="11"/>
      <c r="T145" s="9"/>
      <c r="U145" s="11"/>
      <c r="V145" s="9"/>
      <c r="W145" s="11"/>
      <c r="X145" s="9"/>
      <c r="Y145" s="11"/>
      <c r="Z145" s="11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ht="12.75" customHeight="1">
      <c r="A146" s="9"/>
      <c r="B146" s="9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9"/>
      <c r="S146" s="11"/>
      <c r="T146" s="9"/>
      <c r="U146" s="11"/>
      <c r="V146" s="9"/>
      <c r="W146" s="11"/>
      <c r="X146" s="9"/>
      <c r="Y146" s="11"/>
      <c r="Z146" s="11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ht="12.75" customHeight="1">
      <c r="A147" s="9"/>
      <c r="B147" s="9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9"/>
      <c r="S147" s="11"/>
      <c r="T147" s="9"/>
      <c r="U147" s="11"/>
      <c r="V147" s="9"/>
      <c r="W147" s="11"/>
      <c r="X147" s="9"/>
      <c r="Y147" s="11"/>
      <c r="Z147" s="11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ht="12.75" customHeight="1">
      <c r="A148" s="9"/>
      <c r="B148" s="9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9"/>
      <c r="S148" s="11"/>
      <c r="T148" s="9"/>
      <c r="U148" s="11"/>
      <c r="V148" s="9"/>
      <c r="W148" s="11"/>
      <c r="X148" s="9"/>
      <c r="Y148" s="11"/>
      <c r="Z148" s="11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ht="12.75" customHeight="1">
      <c r="A149" s="9"/>
      <c r="B149" s="9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9"/>
      <c r="S149" s="11"/>
      <c r="T149" s="9"/>
      <c r="U149" s="11"/>
      <c r="V149" s="9"/>
      <c r="W149" s="11"/>
      <c r="X149" s="9"/>
      <c r="Y149" s="11"/>
      <c r="Z149" s="11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12.75" customHeight="1">
      <c r="A150" s="9"/>
      <c r="B150" s="9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9"/>
      <c r="S150" s="11"/>
      <c r="T150" s="9"/>
      <c r="U150" s="11"/>
      <c r="V150" s="9"/>
      <c r="W150" s="11"/>
      <c r="X150" s="9"/>
      <c r="Y150" s="11"/>
      <c r="Z150" s="11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ht="12.75" customHeight="1">
      <c r="A151" s="9"/>
      <c r="B151" s="9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9"/>
      <c r="S151" s="11"/>
      <c r="T151" s="9"/>
      <c r="U151" s="11"/>
      <c r="V151" s="9"/>
      <c r="W151" s="11"/>
      <c r="X151" s="9"/>
      <c r="Y151" s="11"/>
      <c r="Z151" s="11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ht="12.75" customHeight="1">
      <c r="A152" s="9"/>
      <c r="B152" s="9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9"/>
      <c r="S152" s="11"/>
      <c r="T152" s="9"/>
      <c r="U152" s="11"/>
      <c r="V152" s="9"/>
      <c r="W152" s="11"/>
      <c r="X152" s="9"/>
      <c r="Y152" s="11"/>
      <c r="Z152" s="11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ht="12.75" customHeight="1">
      <c r="A153" s="9"/>
      <c r="B153" s="9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9"/>
      <c r="S153" s="11"/>
      <c r="T153" s="9"/>
      <c r="U153" s="11"/>
      <c r="V153" s="9"/>
      <c r="W153" s="11"/>
      <c r="X153" s="9"/>
      <c r="Y153" s="11"/>
      <c r="Z153" s="11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ht="12.75" customHeight="1">
      <c r="A154" s="9"/>
      <c r="B154" s="9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9"/>
      <c r="S154" s="11"/>
      <c r="T154" s="9"/>
      <c r="U154" s="11"/>
      <c r="V154" s="9"/>
      <c r="W154" s="11"/>
      <c r="X154" s="9"/>
      <c r="Y154" s="11"/>
      <c r="Z154" s="11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ht="12.75" customHeight="1">
      <c r="A155" s="9"/>
      <c r="B155" s="9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9"/>
      <c r="S155" s="11"/>
      <c r="T155" s="9"/>
      <c r="U155" s="11"/>
      <c r="V155" s="9"/>
      <c r="W155" s="11"/>
      <c r="X155" s="9"/>
      <c r="Y155" s="11"/>
      <c r="Z155" s="11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ht="12.75" customHeight="1">
      <c r="A156" s="9"/>
      <c r="B156" s="9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9"/>
      <c r="S156" s="11"/>
      <c r="T156" s="9"/>
      <c r="U156" s="11"/>
      <c r="V156" s="9"/>
      <c r="W156" s="11"/>
      <c r="X156" s="9"/>
      <c r="Y156" s="11"/>
      <c r="Z156" s="11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ht="12.75" customHeight="1">
      <c r="A157" s="9"/>
      <c r="B157" s="9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9"/>
      <c r="S157" s="11"/>
      <c r="T157" s="9"/>
      <c r="U157" s="11"/>
      <c r="V157" s="9"/>
      <c r="W157" s="11"/>
      <c r="X157" s="9"/>
      <c r="Y157" s="11"/>
      <c r="Z157" s="11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12.75" customHeight="1">
      <c r="A158" s="9"/>
      <c r="B158" s="9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9"/>
      <c r="S158" s="11"/>
      <c r="T158" s="9"/>
      <c r="U158" s="11"/>
      <c r="V158" s="9"/>
      <c r="W158" s="11"/>
      <c r="X158" s="9"/>
      <c r="Y158" s="11"/>
      <c r="Z158" s="11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ht="12.75" customHeight="1">
      <c r="A159" s="9"/>
      <c r="B159" s="9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9"/>
      <c r="S159" s="11"/>
      <c r="T159" s="9"/>
      <c r="U159" s="11"/>
      <c r="V159" s="9"/>
      <c r="W159" s="11"/>
      <c r="X159" s="9"/>
      <c r="Y159" s="11"/>
      <c r="Z159" s="11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ht="12.75" customHeight="1">
      <c r="A160" s="9"/>
      <c r="B160" s="9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9"/>
      <c r="S160" s="11"/>
      <c r="T160" s="9"/>
      <c r="U160" s="11"/>
      <c r="V160" s="9"/>
      <c r="W160" s="11"/>
      <c r="X160" s="9"/>
      <c r="Y160" s="11"/>
      <c r="Z160" s="11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ht="12.75" customHeight="1">
      <c r="A161" s="9"/>
      <c r="B161" s="9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9"/>
      <c r="S161" s="11"/>
      <c r="T161" s="9"/>
      <c r="U161" s="11"/>
      <c r="V161" s="9"/>
      <c r="W161" s="11"/>
      <c r="X161" s="9"/>
      <c r="Y161" s="11"/>
      <c r="Z161" s="11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ht="12.75" customHeight="1">
      <c r="A162" s="9"/>
      <c r="B162" s="9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9"/>
      <c r="S162" s="11"/>
      <c r="T162" s="9"/>
      <c r="U162" s="11"/>
      <c r="V162" s="9"/>
      <c r="W162" s="11"/>
      <c r="X162" s="9"/>
      <c r="Y162" s="11"/>
      <c r="Z162" s="11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ht="12.75" customHeight="1">
      <c r="A163" s="9"/>
      <c r="B163" s="9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9"/>
      <c r="S163" s="11"/>
      <c r="T163" s="9"/>
      <c r="U163" s="11"/>
      <c r="V163" s="9"/>
      <c r="W163" s="11"/>
      <c r="X163" s="9"/>
      <c r="Y163" s="11"/>
      <c r="Z163" s="11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ht="12.75" customHeight="1">
      <c r="A164" s="9"/>
      <c r="B164" s="9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9"/>
      <c r="S164" s="11"/>
      <c r="T164" s="9"/>
      <c r="U164" s="11"/>
      <c r="V164" s="9"/>
      <c r="W164" s="11"/>
      <c r="X164" s="9"/>
      <c r="Y164" s="11"/>
      <c r="Z164" s="11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ht="12.75" customHeight="1">
      <c r="A165" s="9"/>
      <c r="B165" s="9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9"/>
      <c r="S165" s="11"/>
      <c r="T165" s="9"/>
      <c r="U165" s="11"/>
      <c r="V165" s="9"/>
      <c r="W165" s="11"/>
      <c r="X165" s="9"/>
      <c r="Y165" s="11"/>
      <c r="Z165" s="11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12.75" customHeight="1">
      <c r="A166" s="9"/>
      <c r="B166" s="9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9"/>
      <c r="S166" s="11"/>
      <c r="T166" s="9"/>
      <c r="U166" s="11"/>
      <c r="V166" s="9"/>
      <c r="W166" s="11"/>
      <c r="X166" s="9"/>
      <c r="Y166" s="11"/>
      <c r="Z166" s="11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ht="12.75" customHeight="1">
      <c r="A167" s="9"/>
      <c r="B167" s="9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9"/>
      <c r="S167" s="11"/>
      <c r="T167" s="9"/>
      <c r="U167" s="11"/>
      <c r="V167" s="9"/>
      <c r="W167" s="11"/>
      <c r="X167" s="9"/>
      <c r="Y167" s="11"/>
      <c r="Z167" s="11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ht="12.75" customHeight="1">
      <c r="A168" s="9"/>
      <c r="B168" s="9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9"/>
      <c r="S168" s="11"/>
      <c r="T168" s="9"/>
      <c r="U168" s="11"/>
      <c r="V168" s="9"/>
      <c r="W168" s="11"/>
      <c r="X168" s="9"/>
      <c r="Y168" s="11"/>
      <c r="Z168" s="11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ht="12.75" customHeight="1">
      <c r="A169" s="9"/>
      <c r="B169" s="9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9"/>
      <c r="S169" s="11"/>
      <c r="T169" s="9"/>
      <c r="U169" s="11"/>
      <c r="V169" s="9"/>
      <c r="W169" s="11"/>
      <c r="X169" s="9"/>
      <c r="Y169" s="11"/>
      <c r="Z169" s="11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ht="12.75" customHeight="1">
      <c r="A170" s="9"/>
      <c r="B170" s="9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9"/>
      <c r="S170" s="11"/>
      <c r="T170" s="9"/>
      <c r="U170" s="11"/>
      <c r="V170" s="9"/>
      <c r="W170" s="11"/>
      <c r="X170" s="9"/>
      <c r="Y170" s="11"/>
      <c r="Z170" s="11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ht="12.75" customHeight="1">
      <c r="A171" s="9"/>
      <c r="B171" s="9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9"/>
      <c r="S171" s="11"/>
      <c r="T171" s="9"/>
      <c r="U171" s="11"/>
      <c r="V171" s="9"/>
      <c r="W171" s="11"/>
      <c r="X171" s="9"/>
      <c r="Y171" s="11"/>
      <c r="Z171" s="11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ht="12.75" customHeight="1">
      <c r="A172" s="9"/>
      <c r="B172" s="9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9"/>
      <c r="S172" s="11"/>
      <c r="T172" s="9"/>
      <c r="U172" s="11"/>
      <c r="V172" s="9"/>
      <c r="W172" s="11"/>
      <c r="X172" s="9"/>
      <c r="Y172" s="11"/>
      <c r="Z172" s="11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ht="12.75" customHeight="1">
      <c r="A173" s="9"/>
      <c r="B173" s="9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9"/>
      <c r="S173" s="11"/>
      <c r="T173" s="9"/>
      <c r="U173" s="11"/>
      <c r="V173" s="9"/>
      <c r="W173" s="11"/>
      <c r="X173" s="9"/>
      <c r="Y173" s="11"/>
      <c r="Z173" s="11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12.75" customHeight="1">
      <c r="A174" s="9"/>
      <c r="B174" s="9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9"/>
      <c r="S174" s="11"/>
      <c r="T174" s="9"/>
      <c r="U174" s="11"/>
      <c r="V174" s="9"/>
      <c r="W174" s="11"/>
      <c r="X174" s="9"/>
      <c r="Y174" s="11"/>
      <c r="Z174" s="11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12.75" customHeight="1">
      <c r="A175" s="9"/>
      <c r="B175" s="9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9"/>
      <c r="S175" s="11"/>
      <c r="T175" s="9"/>
      <c r="U175" s="11"/>
      <c r="V175" s="9"/>
      <c r="W175" s="11"/>
      <c r="X175" s="9"/>
      <c r="Y175" s="11"/>
      <c r="Z175" s="11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12.75" customHeight="1">
      <c r="A176" s="9"/>
      <c r="B176" s="9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9"/>
      <c r="S176" s="11"/>
      <c r="T176" s="9"/>
      <c r="U176" s="11"/>
      <c r="V176" s="9"/>
      <c r="W176" s="11"/>
      <c r="X176" s="9"/>
      <c r="Y176" s="11"/>
      <c r="Z176" s="11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12.75" customHeight="1">
      <c r="A177" s="9"/>
      <c r="B177" s="9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9"/>
      <c r="S177" s="11"/>
      <c r="T177" s="9"/>
      <c r="U177" s="11"/>
      <c r="V177" s="9"/>
      <c r="W177" s="11"/>
      <c r="X177" s="9"/>
      <c r="Y177" s="11"/>
      <c r="Z177" s="11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12.75" customHeight="1">
      <c r="A178" s="9"/>
      <c r="B178" s="9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9"/>
      <c r="S178" s="11"/>
      <c r="T178" s="9"/>
      <c r="U178" s="11"/>
      <c r="V178" s="9"/>
      <c r="W178" s="11"/>
      <c r="X178" s="9"/>
      <c r="Y178" s="11"/>
      <c r="Z178" s="11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12.75" customHeight="1">
      <c r="A179" s="9"/>
      <c r="B179" s="9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9"/>
      <c r="S179" s="11"/>
      <c r="T179" s="9"/>
      <c r="U179" s="11"/>
      <c r="V179" s="9"/>
      <c r="W179" s="11"/>
      <c r="X179" s="9"/>
      <c r="Y179" s="11"/>
      <c r="Z179" s="11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12.75" customHeight="1">
      <c r="A180" s="9"/>
      <c r="B180" s="9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9"/>
      <c r="S180" s="11"/>
      <c r="T180" s="9"/>
      <c r="U180" s="11"/>
      <c r="V180" s="9"/>
      <c r="W180" s="11"/>
      <c r="X180" s="9"/>
      <c r="Y180" s="11"/>
      <c r="Z180" s="11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12.75" customHeight="1">
      <c r="A181" s="9"/>
      <c r="B181" s="9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9"/>
      <c r="S181" s="11"/>
      <c r="T181" s="9"/>
      <c r="U181" s="11"/>
      <c r="V181" s="9"/>
      <c r="W181" s="11"/>
      <c r="X181" s="9"/>
      <c r="Y181" s="11"/>
      <c r="Z181" s="11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12.75" customHeight="1">
      <c r="A182" s="9"/>
      <c r="B182" s="9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9"/>
      <c r="S182" s="11"/>
      <c r="T182" s="9"/>
      <c r="U182" s="11"/>
      <c r="V182" s="9"/>
      <c r="W182" s="11"/>
      <c r="X182" s="9"/>
      <c r="Y182" s="11"/>
      <c r="Z182" s="11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12.75" customHeight="1">
      <c r="A183" s="9"/>
      <c r="B183" s="9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9"/>
      <c r="S183" s="11"/>
      <c r="T183" s="9"/>
      <c r="U183" s="11"/>
      <c r="V183" s="9"/>
      <c r="W183" s="11"/>
      <c r="X183" s="9"/>
      <c r="Y183" s="11"/>
      <c r="Z183" s="11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12.75" customHeight="1">
      <c r="A184" s="9"/>
      <c r="B184" s="9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9"/>
      <c r="S184" s="11"/>
      <c r="T184" s="9"/>
      <c r="U184" s="11"/>
      <c r="V184" s="9"/>
      <c r="W184" s="11"/>
      <c r="X184" s="9"/>
      <c r="Y184" s="11"/>
      <c r="Z184" s="11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12.75" customHeight="1">
      <c r="A185" s="9"/>
      <c r="B185" s="9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9"/>
      <c r="S185" s="11"/>
      <c r="T185" s="9"/>
      <c r="U185" s="11"/>
      <c r="V185" s="9"/>
      <c r="W185" s="11"/>
      <c r="X185" s="9"/>
      <c r="Y185" s="11"/>
      <c r="Z185" s="11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12.75" customHeight="1">
      <c r="A186" s="9"/>
      <c r="B186" s="9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9"/>
      <c r="S186" s="11"/>
      <c r="T186" s="9"/>
      <c r="U186" s="11"/>
      <c r="V186" s="9"/>
      <c r="W186" s="11"/>
      <c r="X186" s="9"/>
      <c r="Y186" s="11"/>
      <c r="Z186" s="11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12.75" customHeight="1">
      <c r="A187" s="9"/>
      <c r="B187" s="9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9"/>
      <c r="S187" s="11"/>
      <c r="T187" s="9"/>
      <c r="U187" s="11"/>
      <c r="V187" s="9"/>
      <c r="W187" s="11"/>
      <c r="X187" s="9"/>
      <c r="Y187" s="11"/>
      <c r="Z187" s="11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12.75" customHeight="1">
      <c r="A188" s="9"/>
      <c r="B188" s="9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9"/>
      <c r="S188" s="11"/>
      <c r="T188" s="9"/>
      <c r="U188" s="11"/>
      <c r="V188" s="9"/>
      <c r="W188" s="11"/>
      <c r="X188" s="9"/>
      <c r="Y188" s="11"/>
      <c r="Z188" s="11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12.75" customHeight="1">
      <c r="A189" s="9"/>
      <c r="B189" s="9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9"/>
      <c r="S189" s="11"/>
      <c r="T189" s="9"/>
      <c r="U189" s="11"/>
      <c r="V189" s="9"/>
      <c r="W189" s="11"/>
      <c r="X189" s="9"/>
      <c r="Y189" s="11"/>
      <c r="Z189" s="11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12.75" customHeight="1">
      <c r="A190" s="9"/>
      <c r="B190" s="9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9"/>
      <c r="S190" s="11"/>
      <c r="T190" s="9"/>
      <c r="U190" s="11"/>
      <c r="V190" s="9"/>
      <c r="W190" s="11"/>
      <c r="X190" s="9"/>
      <c r="Y190" s="11"/>
      <c r="Z190" s="11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12.75" customHeight="1">
      <c r="A191" s="9"/>
      <c r="B191" s="9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9"/>
      <c r="S191" s="11"/>
      <c r="T191" s="9"/>
      <c r="U191" s="11"/>
      <c r="V191" s="9"/>
      <c r="W191" s="11"/>
      <c r="X191" s="9"/>
      <c r="Y191" s="11"/>
      <c r="Z191" s="11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12.75" customHeight="1">
      <c r="A192" s="9"/>
      <c r="B192" s="9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9"/>
      <c r="S192" s="11"/>
      <c r="T192" s="9"/>
      <c r="U192" s="11"/>
      <c r="V192" s="9"/>
      <c r="W192" s="11"/>
      <c r="X192" s="9"/>
      <c r="Y192" s="11"/>
      <c r="Z192" s="11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12.75" customHeight="1">
      <c r="A193" s="9"/>
      <c r="B193" s="9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9"/>
      <c r="S193" s="11"/>
      <c r="T193" s="9"/>
      <c r="U193" s="11"/>
      <c r="V193" s="9"/>
      <c r="W193" s="11"/>
      <c r="X193" s="9"/>
      <c r="Y193" s="11"/>
      <c r="Z193" s="11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12.75" customHeight="1">
      <c r="A194" s="9"/>
      <c r="B194" s="9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9"/>
      <c r="S194" s="11"/>
      <c r="T194" s="9"/>
      <c r="U194" s="11"/>
      <c r="V194" s="9"/>
      <c r="W194" s="11"/>
      <c r="X194" s="9"/>
      <c r="Y194" s="11"/>
      <c r="Z194" s="11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12.75" customHeight="1">
      <c r="A195" s="9"/>
      <c r="B195" s="9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9"/>
      <c r="S195" s="11"/>
      <c r="T195" s="9"/>
      <c r="U195" s="11"/>
      <c r="V195" s="9"/>
      <c r="W195" s="11"/>
      <c r="X195" s="9"/>
      <c r="Y195" s="11"/>
      <c r="Z195" s="11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12.75" customHeight="1">
      <c r="A196" s="9"/>
      <c r="B196" s="9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9"/>
      <c r="S196" s="11"/>
      <c r="T196" s="9"/>
      <c r="U196" s="11"/>
      <c r="V196" s="9"/>
      <c r="W196" s="11"/>
      <c r="X196" s="9"/>
      <c r="Y196" s="11"/>
      <c r="Z196" s="11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12.75" customHeight="1">
      <c r="A197" s="9"/>
      <c r="B197" s="9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9"/>
      <c r="S197" s="11"/>
      <c r="T197" s="9"/>
      <c r="U197" s="11"/>
      <c r="V197" s="9"/>
      <c r="W197" s="11"/>
      <c r="X197" s="9"/>
      <c r="Y197" s="11"/>
      <c r="Z197" s="11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12.75" customHeight="1">
      <c r="A198" s="9"/>
      <c r="B198" s="9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9"/>
      <c r="S198" s="11"/>
      <c r="T198" s="9"/>
      <c r="U198" s="11"/>
      <c r="V198" s="9"/>
      <c r="W198" s="11"/>
      <c r="X198" s="9"/>
      <c r="Y198" s="11"/>
      <c r="Z198" s="11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12.75" customHeight="1">
      <c r="A199" s="9"/>
      <c r="B199" s="9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9"/>
      <c r="S199" s="11"/>
      <c r="T199" s="9"/>
      <c r="U199" s="11"/>
      <c r="V199" s="9"/>
      <c r="W199" s="11"/>
      <c r="X199" s="9"/>
      <c r="Y199" s="11"/>
      <c r="Z199" s="11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12.75" customHeight="1">
      <c r="A200" s="9"/>
      <c r="B200" s="9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9"/>
      <c r="S200" s="11"/>
      <c r="T200" s="9"/>
      <c r="U200" s="11"/>
      <c r="V200" s="9"/>
      <c r="W200" s="11"/>
      <c r="X200" s="9"/>
      <c r="Y200" s="11"/>
      <c r="Z200" s="11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12.75" customHeight="1">
      <c r="A201" s="9"/>
      <c r="B201" s="9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9"/>
      <c r="S201" s="11"/>
      <c r="T201" s="9"/>
      <c r="U201" s="11"/>
      <c r="V201" s="9"/>
      <c r="W201" s="11"/>
      <c r="X201" s="9"/>
      <c r="Y201" s="11"/>
      <c r="Z201" s="11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12.75" customHeight="1">
      <c r="A202" s="9"/>
      <c r="B202" s="9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9"/>
      <c r="S202" s="11"/>
      <c r="T202" s="9"/>
      <c r="U202" s="11"/>
      <c r="V202" s="9"/>
      <c r="W202" s="11"/>
      <c r="X202" s="9"/>
      <c r="Y202" s="11"/>
      <c r="Z202" s="11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12.75" customHeight="1">
      <c r="A203" s="9"/>
      <c r="B203" s="9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9"/>
      <c r="S203" s="11"/>
      <c r="T203" s="9"/>
      <c r="U203" s="11"/>
      <c r="V203" s="9"/>
      <c r="W203" s="11"/>
      <c r="X203" s="9"/>
      <c r="Y203" s="11"/>
      <c r="Z203" s="11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12.75" customHeight="1">
      <c r="A204" s="9"/>
      <c r="B204" s="9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9"/>
      <c r="S204" s="11"/>
      <c r="T204" s="9"/>
      <c r="U204" s="11"/>
      <c r="V204" s="9"/>
      <c r="W204" s="11"/>
      <c r="X204" s="9"/>
      <c r="Y204" s="11"/>
      <c r="Z204" s="11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ht="12.75" customHeight="1">
      <c r="A205" s="9"/>
      <c r="B205" s="9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9"/>
      <c r="S205" s="11"/>
      <c r="T205" s="9"/>
      <c r="U205" s="11"/>
      <c r="V205" s="9"/>
      <c r="W205" s="11"/>
      <c r="X205" s="9"/>
      <c r="Y205" s="11"/>
      <c r="Z205" s="11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12.75" customHeight="1">
      <c r="A206" s="9"/>
      <c r="B206" s="9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9"/>
      <c r="S206" s="11"/>
      <c r="T206" s="9"/>
      <c r="U206" s="11"/>
      <c r="V206" s="9"/>
      <c r="W206" s="11"/>
      <c r="X206" s="9"/>
      <c r="Y206" s="11"/>
      <c r="Z206" s="11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12.75" customHeight="1">
      <c r="A207" s="9"/>
      <c r="B207" s="9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9"/>
      <c r="S207" s="11"/>
      <c r="T207" s="9"/>
      <c r="U207" s="11"/>
      <c r="V207" s="9"/>
      <c r="W207" s="11"/>
      <c r="X207" s="9"/>
      <c r="Y207" s="11"/>
      <c r="Z207" s="11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12.75" customHeight="1">
      <c r="A208" s="9"/>
      <c r="B208" s="9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9"/>
      <c r="S208" s="11"/>
      <c r="T208" s="9"/>
      <c r="U208" s="11"/>
      <c r="V208" s="9"/>
      <c r="W208" s="11"/>
      <c r="X208" s="9"/>
      <c r="Y208" s="11"/>
      <c r="Z208" s="11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12.75" customHeight="1">
      <c r="A209" s="9"/>
      <c r="B209" s="9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9"/>
      <c r="S209" s="11"/>
      <c r="T209" s="9"/>
      <c r="U209" s="11"/>
      <c r="V209" s="9"/>
      <c r="W209" s="11"/>
      <c r="X209" s="9"/>
      <c r="Y209" s="11"/>
      <c r="Z209" s="11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12.75" customHeight="1">
      <c r="A210" s="9"/>
      <c r="B210" s="9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9"/>
      <c r="S210" s="11"/>
      <c r="T210" s="9"/>
      <c r="U210" s="11"/>
      <c r="V210" s="9"/>
      <c r="W210" s="11"/>
      <c r="X210" s="9"/>
      <c r="Y210" s="11"/>
      <c r="Z210" s="11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12.75" customHeight="1">
      <c r="A211" s="9"/>
      <c r="B211" s="9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9"/>
      <c r="S211" s="11"/>
      <c r="T211" s="9"/>
      <c r="U211" s="11"/>
      <c r="V211" s="9"/>
      <c r="W211" s="11"/>
      <c r="X211" s="9"/>
      <c r="Y211" s="11"/>
      <c r="Z211" s="11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12.75" customHeight="1">
      <c r="A212" s="9"/>
      <c r="B212" s="9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9"/>
      <c r="S212" s="11"/>
      <c r="T212" s="9"/>
      <c r="U212" s="11"/>
      <c r="V212" s="9"/>
      <c r="W212" s="11"/>
      <c r="X212" s="9"/>
      <c r="Y212" s="11"/>
      <c r="Z212" s="11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12.75" customHeight="1">
      <c r="A213" s="9"/>
      <c r="B213" s="9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9"/>
      <c r="S213" s="11"/>
      <c r="T213" s="9"/>
      <c r="U213" s="11"/>
      <c r="V213" s="9"/>
      <c r="W213" s="11"/>
      <c r="X213" s="9"/>
      <c r="Y213" s="11"/>
      <c r="Z213" s="11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12.75" customHeight="1">
      <c r="A214" s="9"/>
      <c r="B214" s="9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9"/>
      <c r="S214" s="11"/>
      <c r="T214" s="9"/>
      <c r="U214" s="11"/>
      <c r="V214" s="9"/>
      <c r="W214" s="11"/>
      <c r="X214" s="9"/>
      <c r="Y214" s="11"/>
      <c r="Z214" s="11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12.75" customHeight="1">
      <c r="A215" s="9"/>
      <c r="B215" s="9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9"/>
      <c r="S215" s="11"/>
      <c r="T215" s="9"/>
      <c r="U215" s="11"/>
      <c r="V215" s="9"/>
      <c r="W215" s="11"/>
      <c r="X215" s="9"/>
      <c r="Y215" s="11"/>
      <c r="Z215" s="11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12.75" customHeight="1">
      <c r="A216" s="9"/>
      <c r="B216" s="9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9"/>
      <c r="S216" s="11"/>
      <c r="T216" s="9"/>
      <c r="U216" s="11"/>
      <c r="V216" s="9"/>
      <c r="W216" s="11"/>
      <c r="X216" s="9"/>
      <c r="Y216" s="11"/>
      <c r="Z216" s="11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12.75" customHeight="1">
      <c r="A217" s="9"/>
      <c r="B217" s="9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9"/>
      <c r="S217" s="11"/>
      <c r="T217" s="9"/>
      <c r="U217" s="11"/>
      <c r="V217" s="9"/>
      <c r="W217" s="11"/>
      <c r="X217" s="9"/>
      <c r="Y217" s="11"/>
      <c r="Z217" s="11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12.75" customHeight="1">
      <c r="A218" s="9"/>
      <c r="B218" s="9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9"/>
      <c r="S218" s="11"/>
      <c r="T218" s="9"/>
      <c r="U218" s="11"/>
      <c r="V218" s="9"/>
      <c r="W218" s="11"/>
      <c r="X218" s="9"/>
      <c r="Y218" s="11"/>
      <c r="Z218" s="11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12.75" customHeight="1">
      <c r="A219" s="9"/>
      <c r="B219" s="9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9"/>
      <c r="S219" s="11"/>
      <c r="T219" s="9"/>
      <c r="U219" s="11"/>
      <c r="V219" s="9"/>
      <c r="W219" s="11"/>
      <c r="X219" s="9"/>
      <c r="Y219" s="11"/>
      <c r="Z219" s="11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12.75" customHeight="1">
      <c r="A220" s="9"/>
      <c r="B220" s="9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9"/>
      <c r="S220" s="11"/>
      <c r="T220" s="9"/>
      <c r="U220" s="11"/>
      <c r="V220" s="9"/>
      <c r="W220" s="11"/>
      <c r="X220" s="9"/>
      <c r="Y220" s="11"/>
      <c r="Z220" s="11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12.75" customHeight="1">
      <c r="A221" s="9"/>
      <c r="B221" s="9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9"/>
      <c r="S221" s="11"/>
      <c r="T221" s="9"/>
      <c r="U221" s="11"/>
      <c r="V221" s="9"/>
      <c r="W221" s="11"/>
      <c r="X221" s="9"/>
      <c r="Y221" s="11"/>
      <c r="Z221" s="11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12.75" customHeight="1">
      <c r="A222" s="9"/>
      <c r="B222" s="9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9"/>
      <c r="S222" s="11"/>
      <c r="T222" s="9"/>
      <c r="U222" s="11"/>
      <c r="V222" s="9"/>
      <c r="W222" s="11"/>
      <c r="X222" s="9"/>
      <c r="Y222" s="11"/>
      <c r="Z222" s="11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12.75" customHeight="1">
      <c r="A223" s="9"/>
      <c r="B223" s="9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9"/>
      <c r="S223" s="11"/>
      <c r="T223" s="9"/>
      <c r="U223" s="11"/>
      <c r="V223" s="9"/>
      <c r="W223" s="11"/>
      <c r="X223" s="9"/>
      <c r="Y223" s="11"/>
      <c r="Z223" s="11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12.75" customHeight="1">
      <c r="A224" s="9"/>
      <c r="B224" s="9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9"/>
      <c r="S224" s="11"/>
      <c r="T224" s="9"/>
      <c r="U224" s="11"/>
      <c r="V224" s="9"/>
      <c r="W224" s="11"/>
      <c r="X224" s="9"/>
      <c r="Y224" s="11"/>
      <c r="Z224" s="11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12.75" customHeight="1">
      <c r="A225" s="9"/>
      <c r="B225" s="9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9"/>
      <c r="S225" s="11"/>
      <c r="T225" s="9"/>
      <c r="U225" s="11"/>
      <c r="V225" s="9"/>
      <c r="W225" s="11"/>
      <c r="X225" s="9"/>
      <c r="Y225" s="11"/>
      <c r="Z225" s="11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12.75" customHeight="1">
      <c r="A226" s="9"/>
      <c r="B226" s="9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9"/>
      <c r="S226" s="11"/>
      <c r="T226" s="9"/>
      <c r="U226" s="11"/>
      <c r="V226" s="9"/>
      <c r="W226" s="11"/>
      <c r="X226" s="9"/>
      <c r="Y226" s="11"/>
      <c r="Z226" s="11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12.75" customHeight="1">
      <c r="A227" s="9"/>
      <c r="B227" s="9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9"/>
      <c r="S227" s="11"/>
      <c r="T227" s="9"/>
      <c r="U227" s="11"/>
      <c r="V227" s="9"/>
      <c r="W227" s="11"/>
      <c r="X227" s="9"/>
      <c r="Y227" s="11"/>
      <c r="Z227" s="11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12.75" customHeight="1">
      <c r="A228" s="9"/>
      <c r="B228" s="9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9"/>
      <c r="S228" s="11"/>
      <c r="T228" s="9"/>
      <c r="U228" s="11"/>
      <c r="V228" s="9"/>
      <c r="W228" s="11"/>
      <c r="X228" s="9"/>
      <c r="Y228" s="11"/>
      <c r="Z228" s="11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12.75" customHeight="1">
      <c r="A229" s="9"/>
      <c r="B229" s="9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9"/>
      <c r="S229" s="11"/>
      <c r="T229" s="9"/>
      <c r="U229" s="11"/>
      <c r="V229" s="9"/>
      <c r="W229" s="11"/>
      <c r="X229" s="9"/>
      <c r="Y229" s="11"/>
      <c r="Z229" s="11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12.75" customHeight="1">
      <c r="A230" s="9"/>
      <c r="B230" s="9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9"/>
      <c r="S230" s="11"/>
      <c r="T230" s="9"/>
      <c r="U230" s="11"/>
      <c r="V230" s="9"/>
      <c r="W230" s="11"/>
      <c r="X230" s="9"/>
      <c r="Y230" s="11"/>
      <c r="Z230" s="11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12.75" customHeight="1">
      <c r="A231" s="9"/>
      <c r="B231" s="9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9"/>
      <c r="S231" s="11"/>
      <c r="T231" s="9"/>
      <c r="U231" s="11"/>
      <c r="V231" s="9"/>
      <c r="W231" s="11"/>
      <c r="X231" s="9"/>
      <c r="Y231" s="11"/>
      <c r="Z231" s="11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12.75" customHeight="1">
      <c r="A232" s="9"/>
      <c r="B232" s="9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9"/>
      <c r="S232" s="11"/>
      <c r="T232" s="9"/>
      <c r="U232" s="11"/>
      <c r="V232" s="9"/>
      <c r="W232" s="11"/>
      <c r="X232" s="9"/>
      <c r="Y232" s="11"/>
      <c r="Z232" s="11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12.75" customHeight="1">
      <c r="A233" s="9"/>
      <c r="B233" s="9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9"/>
      <c r="S233" s="11"/>
      <c r="T233" s="9"/>
      <c r="U233" s="11"/>
      <c r="V233" s="9"/>
      <c r="W233" s="11"/>
      <c r="X233" s="9"/>
      <c r="Y233" s="11"/>
      <c r="Z233" s="11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12.75" customHeight="1">
      <c r="A234" s="9"/>
      <c r="B234" s="9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9"/>
      <c r="S234" s="11"/>
      <c r="T234" s="9"/>
      <c r="U234" s="11"/>
      <c r="V234" s="9"/>
      <c r="W234" s="11"/>
      <c r="X234" s="9"/>
      <c r="Y234" s="11"/>
      <c r="Z234" s="11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12.75" customHeight="1">
      <c r="A235" s="9"/>
      <c r="B235" s="9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9"/>
      <c r="S235" s="11"/>
      <c r="T235" s="9"/>
      <c r="U235" s="11"/>
      <c r="V235" s="9"/>
      <c r="W235" s="11"/>
      <c r="X235" s="9"/>
      <c r="Y235" s="11"/>
      <c r="Z235" s="11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12.75" customHeight="1">
      <c r="A236" s="9"/>
      <c r="B236" s="9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9"/>
      <c r="S236" s="11"/>
      <c r="T236" s="9"/>
      <c r="U236" s="11"/>
      <c r="V236" s="9"/>
      <c r="W236" s="11"/>
      <c r="X236" s="9"/>
      <c r="Y236" s="11"/>
      <c r="Z236" s="11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12.75" customHeight="1">
      <c r="A237" s="9"/>
      <c r="B237" s="9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9"/>
      <c r="S237" s="11"/>
      <c r="T237" s="9"/>
      <c r="U237" s="11"/>
      <c r="V237" s="9"/>
      <c r="W237" s="11"/>
      <c r="X237" s="9"/>
      <c r="Y237" s="11"/>
      <c r="Z237" s="11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12.75" customHeight="1">
      <c r="A238" s="9"/>
      <c r="B238" s="9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9"/>
      <c r="S238" s="11"/>
      <c r="T238" s="9"/>
      <c r="U238" s="11"/>
      <c r="V238" s="9"/>
      <c r="W238" s="11"/>
      <c r="X238" s="9"/>
      <c r="Y238" s="11"/>
      <c r="Z238" s="11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12.75" customHeight="1">
      <c r="A239" s="9"/>
      <c r="B239" s="9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9"/>
      <c r="S239" s="11"/>
      <c r="T239" s="9"/>
      <c r="U239" s="11"/>
      <c r="V239" s="9"/>
      <c r="W239" s="11"/>
      <c r="X239" s="9"/>
      <c r="Y239" s="11"/>
      <c r="Z239" s="11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12.75" customHeight="1">
      <c r="A240" s="9"/>
      <c r="B240" s="9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9"/>
      <c r="S240" s="11"/>
      <c r="T240" s="9"/>
      <c r="U240" s="11"/>
      <c r="V240" s="9"/>
      <c r="W240" s="11"/>
      <c r="X240" s="9"/>
      <c r="Y240" s="11"/>
      <c r="Z240" s="11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12.75" customHeight="1">
      <c r="A241" s="9"/>
      <c r="B241" s="9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9"/>
      <c r="S241" s="11"/>
      <c r="T241" s="9"/>
      <c r="U241" s="11"/>
      <c r="V241" s="9"/>
      <c r="W241" s="11"/>
      <c r="X241" s="9"/>
      <c r="Y241" s="11"/>
      <c r="Z241" s="11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12.75" customHeight="1">
      <c r="A242" s="9"/>
      <c r="B242" s="9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9"/>
      <c r="S242" s="11"/>
      <c r="T242" s="9"/>
      <c r="U242" s="11"/>
      <c r="V242" s="9"/>
      <c r="W242" s="11"/>
      <c r="X242" s="9"/>
      <c r="Y242" s="11"/>
      <c r="Z242" s="11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12.75" customHeight="1">
      <c r="A243" s="9"/>
      <c r="B243" s="9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9"/>
      <c r="S243" s="11"/>
      <c r="T243" s="9"/>
      <c r="U243" s="11"/>
      <c r="V243" s="9"/>
      <c r="W243" s="11"/>
      <c r="X243" s="9"/>
      <c r="Y243" s="11"/>
      <c r="Z243" s="11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12.75" customHeight="1">
      <c r="A244" s="9"/>
      <c r="B244" s="9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9"/>
      <c r="S244" s="11"/>
      <c r="T244" s="9"/>
      <c r="U244" s="11"/>
      <c r="V244" s="9"/>
      <c r="W244" s="11"/>
      <c r="X244" s="9"/>
      <c r="Y244" s="11"/>
      <c r="Z244" s="11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12.75" customHeight="1">
      <c r="A245" s="9"/>
      <c r="B245" s="9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9"/>
      <c r="S245" s="11"/>
      <c r="T245" s="9"/>
      <c r="U245" s="11"/>
      <c r="V245" s="9"/>
      <c r="W245" s="11"/>
      <c r="X245" s="9"/>
      <c r="Y245" s="11"/>
      <c r="Z245" s="11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12.75" customHeight="1">
      <c r="A246" s="9"/>
      <c r="B246" s="9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9"/>
      <c r="S246" s="11"/>
      <c r="T246" s="9"/>
      <c r="U246" s="11"/>
      <c r="V246" s="9"/>
      <c r="W246" s="11"/>
      <c r="X246" s="9"/>
      <c r="Y246" s="11"/>
      <c r="Z246" s="11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12.75" customHeight="1">
      <c r="A247" s="9"/>
      <c r="B247" s="9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9"/>
      <c r="S247" s="11"/>
      <c r="T247" s="9"/>
      <c r="U247" s="11"/>
      <c r="V247" s="9"/>
      <c r="W247" s="11"/>
      <c r="X247" s="9"/>
      <c r="Y247" s="11"/>
      <c r="Z247" s="11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12.75" customHeight="1">
      <c r="A248" s="9"/>
      <c r="B248" s="9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9"/>
      <c r="S248" s="11"/>
      <c r="T248" s="9"/>
      <c r="U248" s="11"/>
      <c r="V248" s="9"/>
      <c r="W248" s="11"/>
      <c r="X248" s="9"/>
      <c r="Y248" s="11"/>
      <c r="Z248" s="11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12.75" customHeight="1">
      <c r="A249" s="9"/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9"/>
      <c r="S249" s="11"/>
      <c r="T249" s="9"/>
      <c r="U249" s="11"/>
      <c r="V249" s="9"/>
      <c r="W249" s="11"/>
      <c r="X249" s="9"/>
      <c r="Y249" s="11"/>
      <c r="Z249" s="11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12.75" customHeight="1">
      <c r="A250" s="9"/>
      <c r="B250" s="9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9"/>
      <c r="S250" s="11"/>
      <c r="T250" s="9"/>
      <c r="U250" s="11"/>
      <c r="V250" s="9"/>
      <c r="W250" s="11"/>
      <c r="X250" s="9"/>
      <c r="Y250" s="11"/>
      <c r="Z250" s="11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12.75" customHeight="1">
      <c r="A251" s="9"/>
      <c r="B251" s="9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9"/>
      <c r="S251" s="11"/>
      <c r="T251" s="9"/>
      <c r="U251" s="11"/>
      <c r="V251" s="9"/>
      <c r="W251" s="11"/>
      <c r="X251" s="9"/>
      <c r="Y251" s="11"/>
      <c r="Z251" s="11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12.75" customHeight="1">
      <c r="A252" s="9"/>
      <c r="B252" s="9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9"/>
      <c r="S252" s="11"/>
      <c r="T252" s="9"/>
      <c r="U252" s="11"/>
      <c r="V252" s="9"/>
      <c r="W252" s="11"/>
      <c r="X252" s="9"/>
      <c r="Y252" s="11"/>
      <c r="Z252" s="11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12.75" customHeight="1">
      <c r="A253" s="9"/>
      <c r="B253" s="9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9"/>
      <c r="S253" s="11"/>
      <c r="T253" s="9"/>
      <c r="U253" s="11"/>
      <c r="V253" s="9"/>
      <c r="W253" s="11"/>
      <c r="X253" s="9"/>
      <c r="Y253" s="11"/>
      <c r="Z253" s="11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12.75" customHeight="1">
      <c r="A254" s="9"/>
      <c r="B254" s="9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9"/>
      <c r="S254" s="11"/>
      <c r="T254" s="9"/>
      <c r="U254" s="11"/>
      <c r="V254" s="9"/>
      <c r="W254" s="11"/>
      <c r="X254" s="9"/>
      <c r="Y254" s="11"/>
      <c r="Z254" s="11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12.75" customHeight="1">
      <c r="A255" s="9"/>
      <c r="B255" s="9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9"/>
      <c r="S255" s="11"/>
      <c r="T255" s="9"/>
      <c r="U255" s="11"/>
      <c r="V255" s="9"/>
      <c r="W255" s="11"/>
      <c r="X255" s="9"/>
      <c r="Y255" s="11"/>
      <c r="Z255" s="11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12.75" customHeight="1">
      <c r="A256" s="9"/>
      <c r="B256" s="9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9"/>
      <c r="S256" s="11"/>
      <c r="T256" s="9"/>
      <c r="U256" s="11"/>
      <c r="V256" s="9"/>
      <c r="W256" s="11"/>
      <c r="X256" s="9"/>
      <c r="Y256" s="11"/>
      <c r="Z256" s="11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12.75" customHeight="1">
      <c r="A257" s="9"/>
      <c r="B257" s="9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9"/>
      <c r="S257" s="11"/>
      <c r="T257" s="9"/>
      <c r="U257" s="11"/>
      <c r="V257" s="9"/>
      <c r="W257" s="11"/>
      <c r="X257" s="9"/>
      <c r="Y257" s="11"/>
      <c r="Z257" s="11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12.75" customHeight="1">
      <c r="A258" s="9"/>
      <c r="B258" s="9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9"/>
      <c r="S258" s="11"/>
      <c r="T258" s="9"/>
      <c r="U258" s="11"/>
      <c r="V258" s="9"/>
      <c r="W258" s="11"/>
      <c r="X258" s="9"/>
      <c r="Y258" s="11"/>
      <c r="Z258" s="11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12.75" customHeight="1">
      <c r="A259" s="9"/>
      <c r="B259" s="9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9"/>
      <c r="S259" s="11"/>
      <c r="T259" s="9"/>
      <c r="U259" s="11"/>
      <c r="V259" s="9"/>
      <c r="W259" s="11"/>
      <c r="X259" s="9"/>
      <c r="Y259" s="11"/>
      <c r="Z259" s="11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ht="12.75" customHeight="1">
      <c r="A260" s="9"/>
      <c r="B260" s="9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9"/>
      <c r="S260" s="11"/>
      <c r="T260" s="9"/>
      <c r="U260" s="11"/>
      <c r="V260" s="9"/>
      <c r="W260" s="11"/>
      <c r="X260" s="9"/>
      <c r="Y260" s="11"/>
      <c r="Z260" s="11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ht="12.75" customHeight="1">
      <c r="A261" s="9"/>
      <c r="B261" s="9"/>
      <c r="C261" s="10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9"/>
      <c r="S261" s="11"/>
      <c r="T261" s="9"/>
      <c r="U261" s="11"/>
      <c r="V261" s="9"/>
      <c r="W261" s="11"/>
      <c r="X261" s="9"/>
      <c r="Y261" s="11"/>
      <c r="Z261" s="11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ht="12.75" customHeight="1">
      <c r="A262" s="9"/>
      <c r="B262" s="9"/>
      <c r="C262" s="10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9"/>
      <c r="S262" s="11"/>
      <c r="T262" s="9"/>
      <c r="U262" s="11"/>
      <c r="V262" s="9"/>
      <c r="W262" s="11"/>
      <c r="X262" s="9"/>
      <c r="Y262" s="11"/>
      <c r="Z262" s="11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ht="12.75" customHeight="1">
      <c r="A263" s="9"/>
      <c r="B263" s="9"/>
      <c r="C263" s="10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9"/>
      <c r="S263" s="11"/>
      <c r="T263" s="9"/>
      <c r="U263" s="11"/>
      <c r="V263" s="9"/>
      <c r="W263" s="11"/>
      <c r="X263" s="9"/>
      <c r="Y263" s="11"/>
      <c r="Z263" s="11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ht="12.75" customHeight="1">
      <c r="A264" s="9"/>
      <c r="B264" s="9"/>
      <c r="C264" s="10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9"/>
      <c r="S264" s="11"/>
      <c r="T264" s="9"/>
      <c r="U264" s="11"/>
      <c r="V264" s="9"/>
      <c r="W264" s="11"/>
      <c r="X264" s="9"/>
      <c r="Y264" s="11"/>
      <c r="Z264" s="11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ht="12.75" customHeight="1">
      <c r="A265" s="9"/>
      <c r="B265" s="9"/>
      <c r="C265" s="10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9"/>
      <c r="S265" s="11"/>
      <c r="T265" s="9"/>
      <c r="U265" s="11"/>
      <c r="V265" s="9"/>
      <c r="W265" s="11"/>
      <c r="X265" s="9"/>
      <c r="Y265" s="11"/>
      <c r="Z265" s="11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ht="12.75" customHeight="1">
      <c r="A266" s="9"/>
      <c r="B266" s="9"/>
      <c r="C266" s="10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9"/>
      <c r="S266" s="11"/>
      <c r="T266" s="9"/>
      <c r="U266" s="11"/>
      <c r="V266" s="9"/>
      <c r="W266" s="11"/>
      <c r="X266" s="9"/>
      <c r="Y266" s="11"/>
      <c r="Z266" s="11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ht="12.75" customHeight="1">
      <c r="A267" s="9"/>
      <c r="B267" s="9"/>
      <c r="C267" s="10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9"/>
      <c r="S267" s="11"/>
      <c r="T267" s="9"/>
      <c r="U267" s="11"/>
      <c r="V267" s="9"/>
      <c r="W267" s="11"/>
      <c r="X267" s="9"/>
      <c r="Y267" s="11"/>
      <c r="Z267" s="11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ht="12.75" customHeight="1">
      <c r="A268" s="9"/>
      <c r="B268" s="9"/>
      <c r="C268" s="10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9"/>
      <c r="S268" s="11"/>
      <c r="T268" s="9"/>
      <c r="U268" s="11"/>
      <c r="V268" s="9"/>
      <c r="W268" s="11"/>
      <c r="X268" s="9"/>
      <c r="Y268" s="11"/>
      <c r="Z268" s="11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ht="12.75" customHeight="1">
      <c r="A269" s="9"/>
      <c r="B269" s="9"/>
      <c r="C269" s="10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9"/>
      <c r="S269" s="11"/>
      <c r="T269" s="9"/>
      <c r="U269" s="11"/>
      <c r="V269" s="9"/>
      <c r="W269" s="11"/>
      <c r="X269" s="9"/>
      <c r="Y269" s="11"/>
      <c r="Z269" s="11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ht="12.75" customHeight="1">
      <c r="A270" s="9"/>
      <c r="B270" s="9"/>
      <c r="C270" s="10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9"/>
      <c r="S270" s="11"/>
      <c r="T270" s="9"/>
      <c r="U270" s="11"/>
      <c r="V270" s="9"/>
      <c r="W270" s="11"/>
      <c r="X270" s="9"/>
      <c r="Y270" s="11"/>
      <c r="Z270" s="11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ht="12.75" customHeight="1">
      <c r="A271" s="9"/>
      <c r="B271" s="9"/>
      <c r="C271" s="10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9"/>
      <c r="S271" s="11"/>
      <c r="T271" s="9"/>
      <c r="U271" s="11"/>
      <c r="V271" s="9"/>
      <c r="W271" s="11"/>
      <c r="X271" s="9"/>
      <c r="Y271" s="11"/>
      <c r="Z271" s="11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ht="12.75" customHeight="1">
      <c r="A272" s="9"/>
      <c r="B272" s="9"/>
      <c r="C272" s="10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9"/>
      <c r="S272" s="11"/>
      <c r="T272" s="9"/>
      <c r="U272" s="11"/>
      <c r="V272" s="9"/>
      <c r="W272" s="11"/>
      <c r="X272" s="9"/>
      <c r="Y272" s="11"/>
      <c r="Z272" s="11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ht="12.75" customHeight="1">
      <c r="A273" s="9"/>
      <c r="B273" s="9"/>
      <c r="C273" s="10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9"/>
      <c r="S273" s="11"/>
      <c r="T273" s="9"/>
      <c r="U273" s="11"/>
      <c r="V273" s="9"/>
      <c r="W273" s="11"/>
      <c r="X273" s="9"/>
      <c r="Y273" s="11"/>
      <c r="Z273" s="11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ht="12.75" customHeight="1">
      <c r="A274" s="9"/>
      <c r="B274" s="9"/>
      <c r="C274" s="10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9"/>
      <c r="S274" s="11"/>
      <c r="T274" s="9"/>
      <c r="U274" s="11"/>
      <c r="V274" s="9"/>
      <c r="W274" s="11"/>
      <c r="X274" s="9"/>
      <c r="Y274" s="11"/>
      <c r="Z274" s="11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ht="12.75" customHeight="1">
      <c r="A275" s="9"/>
      <c r="B275" s="9"/>
      <c r="C275" s="10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9"/>
      <c r="S275" s="11"/>
      <c r="T275" s="9"/>
      <c r="U275" s="11"/>
      <c r="V275" s="9"/>
      <c r="W275" s="11"/>
      <c r="X275" s="9"/>
      <c r="Y275" s="11"/>
      <c r="Z275" s="11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ht="12.75" customHeight="1">
      <c r="A276" s="9"/>
      <c r="B276" s="9"/>
      <c r="C276" s="10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9"/>
      <c r="S276" s="11"/>
      <c r="T276" s="9"/>
      <c r="U276" s="11"/>
      <c r="V276" s="9"/>
      <c r="W276" s="11"/>
      <c r="X276" s="9"/>
      <c r="Y276" s="11"/>
      <c r="Z276" s="11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12.75" customHeight="1">
      <c r="A277" s="9"/>
      <c r="B277" s="9"/>
      <c r="C277" s="10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9"/>
      <c r="S277" s="11"/>
      <c r="T277" s="9"/>
      <c r="U277" s="11"/>
      <c r="V277" s="9"/>
      <c r="W277" s="11"/>
      <c r="X277" s="9"/>
      <c r="Y277" s="11"/>
      <c r="Z277" s="11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12.75" customHeight="1">
      <c r="A278" s="9"/>
      <c r="B278" s="9"/>
      <c r="C278" s="10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9"/>
      <c r="S278" s="11"/>
      <c r="T278" s="9"/>
      <c r="U278" s="11"/>
      <c r="V278" s="9"/>
      <c r="W278" s="11"/>
      <c r="X278" s="9"/>
      <c r="Y278" s="11"/>
      <c r="Z278" s="11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12.75" customHeight="1">
      <c r="A279" s="9"/>
      <c r="B279" s="9"/>
      <c r="C279" s="10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9"/>
      <c r="S279" s="11"/>
      <c r="T279" s="9"/>
      <c r="U279" s="11"/>
      <c r="V279" s="9"/>
      <c r="W279" s="11"/>
      <c r="X279" s="9"/>
      <c r="Y279" s="11"/>
      <c r="Z279" s="11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12.75" customHeight="1">
      <c r="A280" s="9"/>
      <c r="B280" s="9"/>
      <c r="C280" s="10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9"/>
      <c r="S280" s="11"/>
      <c r="T280" s="9"/>
      <c r="U280" s="11"/>
      <c r="V280" s="9"/>
      <c r="W280" s="11"/>
      <c r="X280" s="9"/>
      <c r="Y280" s="11"/>
      <c r="Z280" s="11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12.75" customHeight="1">
      <c r="A281" s="9"/>
      <c r="B281" s="9"/>
      <c r="C281" s="10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9"/>
      <c r="S281" s="11"/>
      <c r="T281" s="9"/>
      <c r="U281" s="11"/>
      <c r="V281" s="9"/>
      <c r="W281" s="11"/>
      <c r="X281" s="9"/>
      <c r="Y281" s="11"/>
      <c r="Z281" s="11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12.75" customHeight="1">
      <c r="A282" s="9"/>
      <c r="B282" s="9"/>
      <c r="C282" s="10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9"/>
      <c r="S282" s="11"/>
      <c r="T282" s="9"/>
      <c r="U282" s="11"/>
      <c r="V282" s="9"/>
      <c r="W282" s="11"/>
      <c r="X282" s="9"/>
      <c r="Y282" s="11"/>
      <c r="Z282" s="11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ht="12.75" customHeight="1">
      <c r="A283" s="9"/>
      <c r="B283" s="9"/>
      <c r="C283" s="10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9"/>
      <c r="S283" s="11"/>
      <c r="T283" s="9"/>
      <c r="U283" s="11"/>
      <c r="V283" s="9"/>
      <c r="W283" s="11"/>
      <c r="X283" s="9"/>
      <c r="Y283" s="11"/>
      <c r="Z283" s="11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ht="12.75" customHeight="1">
      <c r="A284" s="9"/>
      <c r="B284" s="9"/>
      <c r="C284" s="10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9"/>
      <c r="S284" s="11"/>
      <c r="T284" s="9"/>
      <c r="U284" s="11"/>
      <c r="V284" s="9"/>
      <c r="W284" s="11"/>
      <c r="X284" s="9"/>
      <c r="Y284" s="11"/>
      <c r="Z284" s="11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ht="12.75" customHeight="1">
      <c r="A285" s="9"/>
      <c r="B285" s="9"/>
      <c r="C285" s="10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9"/>
      <c r="S285" s="11"/>
      <c r="T285" s="9"/>
      <c r="U285" s="11"/>
      <c r="V285" s="9"/>
      <c r="W285" s="11"/>
      <c r="X285" s="9"/>
      <c r="Y285" s="11"/>
      <c r="Z285" s="11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ht="12.75" customHeight="1">
      <c r="A286" s="9"/>
      <c r="B286" s="9"/>
      <c r="C286" s="10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9"/>
      <c r="S286" s="11"/>
      <c r="T286" s="9"/>
      <c r="U286" s="11"/>
      <c r="V286" s="9"/>
      <c r="W286" s="11"/>
      <c r="X286" s="9"/>
      <c r="Y286" s="11"/>
      <c r="Z286" s="11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ht="12.75" customHeight="1">
      <c r="A287" s="9"/>
      <c r="B287" s="9"/>
      <c r="C287" s="10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9"/>
      <c r="S287" s="11"/>
      <c r="T287" s="9"/>
      <c r="U287" s="11"/>
      <c r="V287" s="9"/>
      <c r="W287" s="11"/>
      <c r="X287" s="9"/>
      <c r="Y287" s="11"/>
      <c r="Z287" s="11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ht="12.75" customHeight="1">
      <c r="A288" s="9"/>
      <c r="B288" s="9"/>
      <c r="C288" s="10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9"/>
      <c r="S288" s="11"/>
      <c r="T288" s="9"/>
      <c r="U288" s="11"/>
      <c r="V288" s="9"/>
      <c r="W288" s="11"/>
      <c r="X288" s="9"/>
      <c r="Y288" s="11"/>
      <c r="Z288" s="11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ht="12.75" customHeight="1">
      <c r="A289" s="9"/>
      <c r="B289" s="9"/>
      <c r="C289" s="10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9"/>
      <c r="S289" s="11"/>
      <c r="T289" s="9"/>
      <c r="U289" s="11"/>
      <c r="V289" s="9"/>
      <c r="W289" s="11"/>
      <c r="X289" s="9"/>
      <c r="Y289" s="11"/>
      <c r="Z289" s="11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ht="12.75" customHeight="1">
      <c r="A290" s="9"/>
      <c r="B290" s="9"/>
      <c r="C290" s="10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9"/>
      <c r="S290" s="11"/>
      <c r="T290" s="9"/>
      <c r="U290" s="11"/>
      <c r="V290" s="9"/>
      <c r="W290" s="11"/>
      <c r="X290" s="9"/>
      <c r="Y290" s="11"/>
      <c r="Z290" s="11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ht="12.75" customHeight="1">
      <c r="A291" s="9"/>
      <c r="B291" s="9"/>
      <c r="C291" s="10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9"/>
      <c r="S291" s="11"/>
      <c r="T291" s="9"/>
      <c r="U291" s="11"/>
      <c r="V291" s="9"/>
      <c r="W291" s="11"/>
      <c r="X291" s="9"/>
      <c r="Y291" s="11"/>
      <c r="Z291" s="11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ht="12.75" customHeight="1">
      <c r="A292" s="9"/>
      <c r="B292" s="9"/>
      <c r="C292" s="10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9"/>
      <c r="S292" s="11"/>
      <c r="T292" s="9"/>
      <c r="U292" s="11"/>
      <c r="V292" s="9"/>
      <c r="W292" s="11"/>
      <c r="X292" s="9"/>
      <c r="Y292" s="11"/>
      <c r="Z292" s="11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ht="12.75" customHeight="1">
      <c r="A293" s="9"/>
      <c r="B293" s="9"/>
      <c r="C293" s="10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9"/>
      <c r="S293" s="11"/>
      <c r="T293" s="9"/>
      <c r="U293" s="11"/>
      <c r="V293" s="9"/>
      <c r="W293" s="11"/>
      <c r="X293" s="9"/>
      <c r="Y293" s="11"/>
      <c r="Z293" s="11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ht="12.75" customHeight="1">
      <c r="A294" s="9"/>
      <c r="B294" s="9"/>
      <c r="C294" s="10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9"/>
      <c r="S294" s="11"/>
      <c r="T294" s="9"/>
      <c r="U294" s="11"/>
      <c r="V294" s="9"/>
      <c r="W294" s="11"/>
      <c r="X294" s="9"/>
      <c r="Y294" s="11"/>
      <c r="Z294" s="11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ht="12.75" customHeight="1">
      <c r="A295" s="9"/>
      <c r="B295" s="9"/>
      <c r="C295" s="10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9"/>
      <c r="S295" s="11"/>
      <c r="T295" s="9"/>
      <c r="U295" s="11"/>
      <c r="V295" s="9"/>
      <c r="W295" s="11"/>
      <c r="X295" s="9"/>
      <c r="Y295" s="11"/>
      <c r="Z295" s="11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ht="12.75" customHeight="1">
      <c r="A296" s="9"/>
      <c r="B296" s="9"/>
      <c r="C296" s="10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9"/>
      <c r="S296" s="11"/>
      <c r="T296" s="9"/>
      <c r="U296" s="11"/>
      <c r="V296" s="9"/>
      <c r="W296" s="11"/>
      <c r="X296" s="9"/>
      <c r="Y296" s="11"/>
      <c r="Z296" s="11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ht="12.75" customHeight="1">
      <c r="A297" s="9"/>
      <c r="B297" s="9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9"/>
      <c r="S297" s="11"/>
      <c r="T297" s="9"/>
      <c r="U297" s="11"/>
      <c r="V297" s="9"/>
      <c r="W297" s="11"/>
      <c r="X297" s="9"/>
      <c r="Y297" s="11"/>
      <c r="Z297" s="11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ht="12.75" customHeight="1">
      <c r="A298" s="9"/>
      <c r="B298" s="9"/>
      <c r="C298" s="10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9"/>
      <c r="S298" s="11"/>
      <c r="T298" s="9"/>
      <c r="U298" s="11"/>
      <c r="V298" s="9"/>
      <c r="W298" s="11"/>
      <c r="X298" s="9"/>
      <c r="Y298" s="11"/>
      <c r="Z298" s="11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ht="12.75" customHeight="1">
      <c r="A299" s="9"/>
      <c r="B299" s="9"/>
      <c r="C299" s="10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9"/>
      <c r="S299" s="11"/>
      <c r="T299" s="9"/>
      <c r="U299" s="11"/>
      <c r="V299" s="9"/>
      <c r="W299" s="11"/>
      <c r="X299" s="9"/>
      <c r="Y299" s="11"/>
      <c r="Z299" s="11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ht="12.75" customHeight="1">
      <c r="A300" s="9"/>
      <c r="B300" s="9"/>
      <c r="C300" s="10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9"/>
      <c r="S300" s="11"/>
      <c r="T300" s="9"/>
      <c r="U300" s="11"/>
      <c r="V300" s="9"/>
      <c r="W300" s="11"/>
      <c r="X300" s="9"/>
      <c r="Y300" s="11"/>
      <c r="Z300" s="11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ht="12.75" customHeight="1">
      <c r="A301" s="9"/>
      <c r="B301" s="9"/>
      <c r="C301" s="10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9"/>
      <c r="S301" s="11"/>
      <c r="T301" s="9"/>
      <c r="U301" s="11"/>
      <c r="V301" s="9"/>
      <c r="W301" s="11"/>
      <c r="X301" s="9"/>
      <c r="Y301" s="11"/>
      <c r="Z301" s="11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ht="12.75" customHeight="1">
      <c r="A302" s="9"/>
      <c r="B302" s="9"/>
      <c r="C302" s="10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9"/>
      <c r="S302" s="11"/>
      <c r="T302" s="9"/>
      <c r="U302" s="11"/>
      <c r="V302" s="9"/>
      <c r="W302" s="11"/>
      <c r="X302" s="9"/>
      <c r="Y302" s="11"/>
      <c r="Z302" s="11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ht="12.75" customHeight="1">
      <c r="A303" s="9"/>
      <c r="B303" s="9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9"/>
      <c r="S303" s="11"/>
      <c r="T303" s="9"/>
      <c r="U303" s="11"/>
      <c r="V303" s="9"/>
      <c r="W303" s="11"/>
      <c r="X303" s="9"/>
      <c r="Y303" s="11"/>
      <c r="Z303" s="11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ht="12.75" customHeight="1">
      <c r="A304" s="9"/>
      <c r="B304" s="9"/>
      <c r="C304" s="10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9"/>
      <c r="S304" s="11"/>
      <c r="T304" s="9"/>
      <c r="U304" s="11"/>
      <c r="V304" s="9"/>
      <c r="W304" s="11"/>
      <c r="X304" s="9"/>
      <c r="Y304" s="11"/>
      <c r="Z304" s="11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ht="12.75" customHeight="1">
      <c r="A305" s="9"/>
      <c r="B305" s="9"/>
      <c r="C305" s="10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9"/>
      <c r="S305" s="11"/>
      <c r="T305" s="9"/>
      <c r="U305" s="11"/>
      <c r="V305" s="9"/>
      <c r="W305" s="11"/>
      <c r="X305" s="9"/>
      <c r="Y305" s="11"/>
      <c r="Z305" s="11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ht="12.75" customHeight="1">
      <c r="A306" s="9"/>
      <c r="B306" s="9"/>
      <c r="C306" s="10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9"/>
      <c r="S306" s="11"/>
      <c r="T306" s="9"/>
      <c r="U306" s="11"/>
      <c r="V306" s="9"/>
      <c r="W306" s="11"/>
      <c r="X306" s="9"/>
      <c r="Y306" s="11"/>
      <c r="Z306" s="11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ht="12.75" customHeight="1">
      <c r="A307" s="9"/>
      <c r="B307" s="9"/>
      <c r="C307" s="10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9"/>
      <c r="S307" s="11"/>
      <c r="T307" s="9"/>
      <c r="U307" s="11"/>
      <c r="V307" s="9"/>
      <c r="W307" s="11"/>
      <c r="X307" s="9"/>
      <c r="Y307" s="11"/>
      <c r="Z307" s="11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ht="12.75" customHeight="1">
      <c r="A308" s="9"/>
      <c r="B308" s="9"/>
      <c r="C308" s="10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9"/>
      <c r="S308" s="11"/>
      <c r="T308" s="9"/>
      <c r="U308" s="11"/>
      <c r="V308" s="9"/>
      <c r="W308" s="11"/>
      <c r="X308" s="9"/>
      <c r="Y308" s="11"/>
      <c r="Z308" s="11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ht="12.75" customHeight="1">
      <c r="A309" s="9"/>
      <c r="B309" s="9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9"/>
      <c r="S309" s="11"/>
      <c r="T309" s="9"/>
      <c r="U309" s="11"/>
      <c r="V309" s="9"/>
      <c r="W309" s="11"/>
      <c r="X309" s="9"/>
      <c r="Y309" s="11"/>
      <c r="Z309" s="11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ht="12.75" customHeight="1">
      <c r="A310" s="9"/>
      <c r="B310" s="9"/>
      <c r="C310" s="10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9"/>
      <c r="S310" s="11"/>
      <c r="T310" s="9"/>
      <c r="U310" s="11"/>
      <c r="V310" s="9"/>
      <c r="W310" s="11"/>
      <c r="X310" s="9"/>
      <c r="Y310" s="11"/>
      <c r="Z310" s="11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ht="12.75" customHeight="1">
      <c r="A311" s="9"/>
      <c r="B311" s="9"/>
      <c r="C311" s="10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9"/>
      <c r="S311" s="11"/>
      <c r="T311" s="9"/>
      <c r="U311" s="11"/>
      <c r="V311" s="9"/>
      <c r="W311" s="11"/>
      <c r="X311" s="9"/>
      <c r="Y311" s="11"/>
      <c r="Z311" s="11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ht="12.75" customHeight="1">
      <c r="A312" s="9"/>
      <c r="B312" s="9"/>
      <c r="C312" s="10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9"/>
      <c r="S312" s="11"/>
      <c r="T312" s="9"/>
      <c r="U312" s="11"/>
      <c r="V312" s="9"/>
      <c r="W312" s="11"/>
      <c r="X312" s="9"/>
      <c r="Y312" s="11"/>
      <c r="Z312" s="11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ht="12.75" customHeight="1">
      <c r="A313" s="9"/>
      <c r="B313" s="9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9"/>
      <c r="S313" s="11"/>
      <c r="T313" s="9"/>
      <c r="U313" s="11"/>
      <c r="V313" s="9"/>
      <c r="W313" s="11"/>
      <c r="X313" s="9"/>
      <c r="Y313" s="11"/>
      <c r="Z313" s="11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ht="12.75" customHeight="1">
      <c r="A314" s="9"/>
      <c r="B314" s="9"/>
      <c r="C314" s="10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9"/>
      <c r="S314" s="11"/>
      <c r="T314" s="9"/>
      <c r="U314" s="11"/>
      <c r="V314" s="9"/>
      <c r="W314" s="11"/>
      <c r="X314" s="9"/>
      <c r="Y314" s="11"/>
      <c r="Z314" s="11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ht="12.75" customHeight="1">
      <c r="A315" s="9"/>
      <c r="B315" s="9"/>
      <c r="C315" s="10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9"/>
      <c r="S315" s="11"/>
      <c r="T315" s="9"/>
      <c r="U315" s="11"/>
      <c r="V315" s="9"/>
      <c r="W315" s="11"/>
      <c r="X315" s="9"/>
      <c r="Y315" s="11"/>
      <c r="Z315" s="11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ht="12.75" customHeight="1">
      <c r="A316" s="9"/>
      <c r="B316" s="9"/>
      <c r="C316" s="10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9"/>
      <c r="S316" s="11"/>
      <c r="T316" s="9"/>
      <c r="U316" s="11"/>
      <c r="V316" s="9"/>
      <c r="W316" s="11"/>
      <c r="X316" s="9"/>
      <c r="Y316" s="11"/>
      <c r="Z316" s="11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ht="12.75" customHeight="1">
      <c r="A317" s="9"/>
      <c r="B317" s="9"/>
      <c r="C317" s="10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9"/>
      <c r="S317" s="11"/>
      <c r="T317" s="9"/>
      <c r="U317" s="11"/>
      <c r="V317" s="9"/>
      <c r="W317" s="11"/>
      <c r="X317" s="9"/>
      <c r="Y317" s="11"/>
      <c r="Z317" s="11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ht="12.75" customHeight="1">
      <c r="A318" s="9"/>
      <c r="B318" s="9"/>
      <c r="C318" s="10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9"/>
      <c r="S318" s="11"/>
      <c r="T318" s="9"/>
      <c r="U318" s="11"/>
      <c r="V318" s="9"/>
      <c r="W318" s="11"/>
      <c r="X318" s="9"/>
      <c r="Y318" s="11"/>
      <c r="Z318" s="11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ht="12.75" customHeight="1">
      <c r="A319" s="9"/>
      <c r="B319" s="9"/>
      <c r="C319" s="10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9"/>
      <c r="S319" s="11"/>
      <c r="T319" s="9"/>
      <c r="U319" s="11"/>
      <c r="V319" s="9"/>
      <c r="W319" s="11"/>
      <c r="X319" s="9"/>
      <c r="Y319" s="11"/>
      <c r="Z319" s="11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ht="12.75" customHeight="1">
      <c r="A320" s="9"/>
      <c r="B320" s="9"/>
      <c r="C320" s="10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9"/>
      <c r="S320" s="11"/>
      <c r="T320" s="9"/>
      <c r="U320" s="11"/>
      <c r="V320" s="9"/>
      <c r="W320" s="11"/>
      <c r="X320" s="9"/>
      <c r="Y320" s="11"/>
      <c r="Z320" s="11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ht="12.75" customHeight="1">
      <c r="A321" s="9"/>
      <c r="B321" s="9"/>
      <c r="C321" s="10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9"/>
      <c r="S321" s="11"/>
      <c r="T321" s="9"/>
      <c r="U321" s="11"/>
      <c r="V321" s="9"/>
      <c r="W321" s="11"/>
      <c r="X321" s="9"/>
      <c r="Y321" s="11"/>
      <c r="Z321" s="11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ht="12.75" customHeight="1">
      <c r="A322" s="9"/>
      <c r="B322" s="9"/>
      <c r="C322" s="10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9"/>
      <c r="S322" s="11"/>
      <c r="T322" s="9"/>
      <c r="U322" s="11"/>
      <c r="V322" s="9"/>
      <c r="W322" s="11"/>
      <c r="X322" s="9"/>
      <c r="Y322" s="11"/>
      <c r="Z322" s="11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ht="12.75" customHeight="1">
      <c r="A323" s="9"/>
      <c r="B323" s="9"/>
      <c r="C323" s="10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9"/>
      <c r="S323" s="11"/>
      <c r="T323" s="9"/>
      <c r="U323" s="11"/>
      <c r="V323" s="9"/>
      <c r="W323" s="11"/>
      <c r="X323" s="9"/>
      <c r="Y323" s="11"/>
      <c r="Z323" s="11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ht="12.75" customHeight="1">
      <c r="A324" s="9"/>
      <c r="B324" s="9"/>
      <c r="C324" s="10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9"/>
      <c r="S324" s="11"/>
      <c r="T324" s="9"/>
      <c r="U324" s="11"/>
      <c r="V324" s="9"/>
      <c r="W324" s="11"/>
      <c r="X324" s="9"/>
      <c r="Y324" s="11"/>
      <c r="Z324" s="11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ht="12.75" customHeight="1">
      <c r="A325" s="9"/>
      <c r="B325" s="9"/>
      <c r="C325" s="10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9"/>
      <c r="S325" s="11"/>
      <c r="T325" s="9"/>
      <c r="U325" s="11"/>
      <c r="V325" s="9"/>
      <c r="W325" s="11"/>
      <c r="X325" s="9"/>
      <c r="Y325" s="11"/>
      <c r="Z325" s="11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ht="12.75" customHeight="1">
      <c r="A326" s="9"/>
      <c r="B326" s="9"/>
      <c r="C326" s="10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9"/>
      <c r="S326" s="11"/>
      <c r="T326" s="9"/>
      <c r="U326" s="11"/>
      <c r="V326" s="9"/>
      <c r="W326" s="11"/>
      <c r="X326" s="9"/>
      <c r="Y326" s="11"/>
      <c r="Z326" s="11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ht="12.75" customHeight="1">
      <c r="A327" s="9"/>
      <c r="B327" s="9"/>
      <c r="C327" s="10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9"/>
      <c r="S327" s="11"/>
      <c r="T327" s="9"/>
      <c r="U327" s="11"/>
      <c r="V327" s="9"/>
      <c r="W327" s="11"/>
      <c r="X327" s="9"/>
      <c r="Y327" s="11"/>
      <c r="Z327" s="11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ht="12.75" customHeight="1">
      <c r="A328" s="9"/>
      <c r="B328" s="9"/>
      <c r="C328" s="10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9"/>
      <c r="S328" s="11"/>
      <c r="T328" s="9"/>
      <c r="U328" s="11"/>
      <c r="V328" s="9"/>
      <c r="W328" s="11"/>
      <c r="X328" s="9"/>
      <c r="Y328" s="11"/>
      <c r="Z328" s="11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ht="12.75" customHeight="1">
      <c r="A329" s="9"/>
      <c r="B329" s="9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9"/>
      <c r="S329" s="11"/>
      <c r="T329" s="9"/>
      <c r="U329" s="11"/>
      <c r="V329" s="9"/>
      <c r="W329" s="11"/>
      <c r="X329" s="9"/>
      <c r="Y329" s="11"/>
      <c r="Z329" s="11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ht="12.75" customHeight="1">
      <c r="A330" s="9"/>
      <c r="B330" s="9"/>
      <c r="C330" s="10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9"/>
      <c r="S330" s="11"/>
      <c r="T330" s="9"/>
      <c r="U330" s="11"/>
      <c r="V330" s="9"/>
      <c r="W330" s="11"/>
      <c r="X330" s="9"/>
      <c r="Y330" s="11"/>
      <c r="Z330" s="11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ht="12.75" customHeight="1">
      <c r="A331" s="9"/>
      <c r="B331" s="9"/>
      <c r="C331" s="10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9"/>
      <c r="S331" s="11"/>
      <c r="T331" s="9"/>
      <c r="U331" s="11"/>
      <c r="V331" s="9"/>
      <c r="W331" s="11"/>
      <c r="X331" s="9"/>
      <c r="Y331" s="11"/>
      <c r="Z331" s="11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ht="12.75" customHeight="1">
      <c r="A332" s="9"/>
      <c r="B332" s="9"/>
      <c r="C332" s="10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9"/>
      <c r="S332" s="11"/>
      <c r="T332" s="9"/>
      <c r="U332" s="11"/>
      <c r="V332" s="9"/>
      <c r="W332" s="11"/>
      <c r="X332" s="9"/>
      <c r="Y332" s="11"/>
      <c r="Z332" s="11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ht="12.75" customHeight="1">
      <c r="A333" s="9"/>
      <c r="B333" s="9"/>
      <c r="C333" s="10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9"/>
      <c r="S333" s="11"/>
      <c r="T333" s="9"/>
      <c r="U333" s="11"/>
      <c r="V333" s="9"/>
      <c r="W333" s="11"/>
      <c r="X333" s="9"/>
      <c r="Y333" s="11"/>
      <c r="Z333" s="11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ht="12.75" customHeight="1">
      <c r="A334" s="9"/>
      <c r="B334" s="9"/>
      <c r="C334" s="10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9"/>
      <c r="S334" s="11"/>
      <c r="T334" s="9"/>
      <c r="U334" s="11"/>
      <c r="V334" s="9"/>
      <c r="W334" s="11"/>
      <c r="X334" s="9"/>
      <c r="Y334" s="11"/>
      <c r="Z334" s="11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ht="12.75" customHeight="1">
      <c r="A335" s="9"/>
      <c r="B335" s="9"/>
      <c r="C335" s="10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9"/>
      <c r="S335" s="11"/>
      <c r="T335" s="9"/>
      <c r="U335" s="11"/>
      <c r="V335" s="9"/>
      <c r="W335" s="11"/>
      <c r="X335" s="9"/>
      <c r="Y335" s="11"/>
      <c r="Z335" s="11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ht="12.75" customHeight="1">
      <c r="A336" s="9"/>
      <c r="B336" s="9"/>
      <c r="C336" s="10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9"/>
      <c r="S336" s="11"/>
      <c r="T336" s="9"/>
      <c r="U336" s="11"/>
      <c r="V336" s="9"/>
      <c r="W336" s="11"/>
      <c r="X336" s="9"/>
      <c r="Y336" s="11"/>
      <c r="Z336" s="11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ht="12.75" customHeight="1">
      <c r="A337" s="9"/>
      <c r="B337" s="9"/>
      <c r="C337" s="10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9"/>
      <c r="S337" s="11"/>
      <c r="T337" s="9"/>
      <c r="U337" s="11"/>
      <c r="V337" s="9"/>
      <c r="W337" s="11"/>
      <c r="X337" s="9"/>
      <c r="Y337" s="11"/>
      <c r="Z337" s="11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ht="12.75" customHeight="1">
      <c r="A338" s="9"/>
      <c r="B338" s="9"/>
      <c r="C338" s="10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9"/>
      <c r="S338" s="11"/>
      <c r="T338" s="9"/>
      <c r="U338" s="11"/>
      <c r="V338" s="9"/>
      <c r="W338" s="11"/>
      <c r="X338" s="9"/>
      <c r="Y338" s="11"/>
      <c r="Z338" s="11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ht="12.75" customHeight="1">
      <c r="A339" s="9"/>
      <c r="B339" s="9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9"/>
      <c r="S339" s="11"/>
      <c r="T339" s="9"/>
      <c r="U339" s="11"/>
      <c r="V339" s="9"/>
      <c r="W339" s="11"/>
      <c r="X339" s="9"/>
      <c r="Y339" s="11"/>
      <c r="Z339" s="11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ht="12.75" customHeight="1">
      <c r="A340" s="9"/>
      <c r="B340" s="9"/>
      <c r="C340" s="10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9"/>
      <c r="S340" s="11"/>
      <c r="T340" s="9"/>
      <c r="U340" s="11"/>
      <c r="V340" s="9"/>
      <c r="W340" s="11"/>
      <c r="X340" s="9"/>
      <c r="Y340" s="11"/>
      <c r="Z340" s="11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ht="12.75" customHeight="1">
      <c r="A341" s="9"/>
      <c r="B341" s="9"/>
      <c r="C341" s="10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9"/>
      <c r="S341" s="11"/>
      <c r="T341" s="9"/>
      <c r="U341" s="11"/>
      <c r="V341" s="9"/>
      <c r="W341" s="11"/>
      <c r="X341" s="9"/>
      <c r="Y341" s="11"/>
      <c r="Z341" s="11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ht="12.75" customHeight="1">
      <c r="A342" s="9"/>
      <c r="B342" s="9"/>
      <c r="C342" s="10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9"/>
      <c r="S342" s="11"/>
      <c r="T342" s="9"/>
      <c r="U342" s="11"/>
      <c r="V342" s="9"/>
      <c r="W342" s="11"/>
      <c r="X342" s="9"/>
      <c r="Y342" s="11"/>
      <c r="Z342" s="11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ht="12.75" customHeight="1">
      <c r="A343" s="9"/>
      <c r="B343" s="9"/>
      <c r="C343" s="10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9"/>
      <c r="S343" s="11"/>
      <c r="T343" s="9"/>
      <c r="U343" s="11"/>
      <c r="V343" s="9"/>
      <c r="W343" s="11"/>
      <c r="X343" s="9"/>
      <c r="Y343" s="11"/>
      <c r="Z343" s="11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ht="12.75" customHeight="1">
      <c r="A344" s="9"/>
      <c r="B344" s="9"/>
      <c r="C344" s="10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9"/>
      <c r="S344" s="11"/>
      <c r="T344" s="9"/>
      <c r="U344" s="11"/>
      <c r="V344" s="9"/>
      <c r="W344" s="11"/>
      <c r="X344" s="9"/>
      <c r="Y344" s="11"/>
      <c r="Z344" s="11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ht="12.75" customHeight="1">
      <c r="A345" s="9"/>
      <c r="B345" s="9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9"/>
      <c r="S345" s="11"/>
      <c r="T345" s="9"/>
      <c r="U345" s="11"/>
      <c r="V345" s="9"/>
      <c r="W345" s="11"/>
      <c r="X345" s="9"/>
      <c r="Y345" s="11"/>
      <c r="Z345" s="11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ht="12.75" customHeight="1">
      <c r="A346" s="9"/>
      <c r="B346" s="9"/>
      <c r="C346" s="10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9"/>
      <c r="S346" s="11"/>
      <c r="T346" s="9"/>
      <c r="U346" s="11"/>
      <c r="V346" s="9"/>
      <c r="W346" s="11"/>
      <c r="X346" s="9"/>
      <c r="Y346" s="11"/>
      <c r="Z346" s="11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ht="12.75" customHeight="1">
      <c r="A347" s="9"/>
      <c r="B347" s="9"/>
      <c r="C347" s="10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9"/>
      <c r="S347" s="11"/>
      <c r="T347" s="9"/>
      <c r="U347" s="11"/>
      <c r="V347" s="9"/>
      <c r="W347" s="11"/>
      <c r="X347" s="9"/>
      <c r="Y347" s="11"/>
      <c r="Z347" s="11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ht="12.75" customHeight="1">
      <c r="A348" s="9"/>
      <c r="B348" s="9"/>
      <c r="C348" s="10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9"/>
      <c r="S348" s="11"/>
      <c r="T348" s="9"/>
      <c r="U348" s="11"/>
      <c r="V348" s="9"/>
      <c r="W348" s="11"/>
      <c r="X348" s="9"/>
      <c r="Y348" s="11"/>
      <c r="Z348" s="11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ht="12.75" customHeight="1">
      <c r="A349" s="9"/>
      <c r="B349" s="9"/>
      <c r="C349" s="10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9"/>
      <c r="S349" s="11"/>
      <c r="T349" s="9"/>
      <c r="U349" s="11"/>
      <c r="V349" s="9"/>
      <c r="W349" s="11"/>
      <c r="X349" s="9"/>
      <c r="Y349" s="11"/>
      <c r="Z349" s="11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ht="12.75" customHeight="1">
      <c r="A350" s="9"/>
      <c r="B350" s="9"/>
      <c r="C350" s="10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9"/>
      <c r="S350" s="11"/>
      <c r="T350" s="9"/>
      <c r="U350" s="11"/>
      <c r="V350" s="9"/>
      <c r="W350" s="11"/>
      <c r="X350" s="9"/>
      <c r="Y350" s="11"/>
      <c r="Z350" s="11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ht="12.75" customHeight="1">
      <c r="A351" s="9"/>
      <c r="B351" s="9"/>
      <c r="C351" s="10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9"/>
      <c r="S351" s="11"/>
      <c r="T351" s="9"/>
      <c r="U351" s="11"/>
      <c r="V351" s="9"/>
      <c r="W351" s="11"/>
      <c r="X351" s="9"/>
      <c r="Y351" s="11"/>
      <c r="Z351" s="11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ht="12.75" customHeight="1">
      <c r="A352" s="9"/>
      <c r="B352" s="9"/>
      <c r="C352" s="10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9"/>
      <c r="S352" s="11"/>
      <c r="T352" s="9"/>
      <c r="U352" s="11"/>
      <c r="V352" s="9"/>
      <c r="W352" s="11"/>
      <c r="X352" s="9"/>
      <c r="Y352" s="11"/>
      <c r="Z352" s="11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ht="12.75" customHeight="1">
      <c r="A353" s="9"/>
      <c r="B353" s="9"/>
      <c r="C353" s="10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9"/>
      <c r="S353" s="11"/>
      <c r="T353" s="9"/>
      <c r="U353" s="11"/>
      <c r="V353" s="9"/>
      <c r="W353" s="11"/>
      <c r="X353" s="9"/>
      <c r="Y353" s="11"/>
      <c r="Z353" s="11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ht="12.75" customHeight="1">
      <c r="A354" s="9"/>
      <c r="B354" s="9"/>
      <c r="C354" s="10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9"/>
      <c r="S354" s="11"/>
      <c r="T354" s="9"/>
      <c r="U354" s="11"/>
      <c r="V354" s="9"/>
      <c r="W354" s="11"/>
      <c r="X354" s="9"/>
      <c r="Y354" s="11"/>
      <c r="Z354" s="11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ht="12.75" customHeight="1">
      <c r="A355" s="9"/>
      <c r="B355" s="9"/>
      <c r="C355" s="10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9"/>
      <c r="S355" s="11"/>
      <c r="T355" s="9"/>
      <c r="U355" s="11"/>
      <c r="V355" s="9"/>
      <c r="W355" s="11"/>
      <c r="X355" s="9"/>
      <c r="Y355" s="11"/>
      <c r="Z355" s="11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ht="12.75" customHeight="1">
      <c r="A356" s="9"/>
      <c r="B356" s="9"/>
      <c r="C356" s="10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9"/>
      <c r="S356" s="11"/>
      <c r="T356" s="9"/>
      <c r="U356" s="11"/>
      <c r="V356" s="9"/>
      <c r="W356" s="11"/>
      <c r="X356" s="9"/>
      <c r="Y356" s="11"/>
      <c r="Z356" s="11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ht="12.75" customHeight="1">
      <c r="A357" s="9"/>
      <c r="B357" s="9"/>
      <c r="C357" s="10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9"/>
      <c r="S357" s="11"/>
      <c r="T357" s="9"/>
      <c r="U357" s="11"/>
      <c r="V357" s="9"/>
      <c r="W357" s="11"/>
      <c r="X357" s="9"/>
      <c r="Y357" s="11"/>
      <c r="Z357" s="11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ht="12.75" customHeight="1">
      <c r="A358" s="9"/>
      <c r="B358" s="9"/>
      <c r="C358" s="10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9"/>
      <c r="S358" s="11"/>
      <c r="T358" s="9"/>
      <c r="U358" s="11"/>
      <c r="V358" s="9"/>
      <c r="W358" s="11"/>
      <c r="X358" s="9"/>
      <c r="Y358" s="11"/>
      <c r="Z358" s="11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ht="12.75" customHeight="1">
      <c r="A359" s="9"/>
      <c r="B359" s="9"/>
      <c r="C359" s="10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9"/>
      <c r="S359" s="11"/>
      <c r="T359" s="9"/>
      <c r="U359" s="11"/>
      <c r="V359" s="9"/>
      <c r="W359" s="11"/>
      <c r="X359" s="9"/>
      <c r="Y359" s="11"/>
      <c r="Z359" s="11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ht="12.75" customHeight="1">
      <c r="A360" s="9"/>
      <c r="B360" s="9"/>
      <c r="C360" s="10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9"/>
      <c r="S360" s="11"/>
      <c r="T360" s="9"/>
      <c r="U360" s="11"/>
      <c r="V360" s="9"/>
      <c r="W360" s="11"/>
      <c r="X360" s="9"/>
      <c r="Y360" s="11"/>
      <c r="Z360" s="11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ht="12.75" customHeight="1">
      <c r="A361" s="9"/>
      <c r="B361" s="9"/>
      <c r="C361" s="10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9"/>
      <c r="S361" s="11"/>
      <c r="T361" s="9"/>
      <c r="U361" s="11"/>
      <c r="V361" s="9"/>
      <c r="W361" s="11"/>
      <c r="X361" s="9"/>
      <c r="Y361" s="11"/>
      <c r="Z361" s="11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ht="12.75" customHeight="1">
      <c r="A362" s="9"/>
      <c r="B362" s="9"/>
      <c r="C362" s="10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9"/>
      <c r="S362" s="11"/>
      <c r="T362" s="9"/>
      <c r="U362" s="11"/>
      <c r="V362" s="9"/>
      <c r="W362" s="11"/>
      <c r="X362" s="9"/>
      <c r="Y362" s="11"/>
      <c r="Z362" s="11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ht="12.75" customHeight="1">
      <c r="A363" s="9"/>
      <c r="B363" s="9"/>
      <c r="C363" s="10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9"/>
      <c r="S363" s="11"/>
      <c r="T363" s="9"/>
      <c r="U363" s="11"/>
      <c r="V363" s="9"/>
      <c r="W363" s="11"/>
      <c r="X363" s="9"/>
      <c r="Y363" s="11"/>
      <c r="Z363" s="11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ht="12.75" customHeight="1">
      <c r="A364" s="9"/>
      <c r="B364" s="9"/>
      <c r="C364" s="10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9"/>
      <c r="S364" s="11"/>
      <c r="T364" s="9"/>
      <c r="U364" s="11"/>
      <c r="V364" s="9"/>
      <c r="W364" s="11"/>
      <c r="X364" s="9"/>
      <c r="Y364" s="11"/>
      <c r="Z364" s="11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ht="12.75" customHeight="1">
      <c r="A365" s="9"/>
      <c r="B365" s="9"/>
      <c r="C365" s="10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9"/>
      <c r="S365" s="11"/>
      <c r="T365" s="9"/>
      <c r="U365" s="11"/>
      <c r="V365" s="9"/>
      <c r="W365" s="11"/>
      <c r="X365" s="9"/>
      <c r="Y365" s="11"/>
      <c r="Z365" s="11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ht="12.75" customHeight="1">
      <c r="A366" s="9"/>
      <c r="B366" s="9"/>
      <c r="C366" s="10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9"/>
      <c r="S366" s="11"/>
      <c r="T366" s="9"/>
      <c r="U366" s="11"/>
      <c r="V366" s="9"/>
      <c r="W366" s="11"/>
      <c r="X366" s="9"/>
      <c r="Y366" s="11"/>
      <c r="Z366" s="11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ht="12.75" customHeight="1">
      <c r="A367" s="9"/>
      <c r="B367" s="9"/>
      <c r="C367" s="10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9"/>
      <c r="S367" s="11"/>
      <c r="T367" s="9"/>
      <c r="U367" s="11"/>
      <c r="V367" s="9"/>
      <c r="W367" s="11"/>
      <c r="X367" s="9"/>
      <c r="Y367" s="11"/>
      <c r="Z367" s="11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ht="12.75" customHeight="1">
      <c r="A368" s="9"/>
      <c r="B368" s="9"/>
      <c r="C368" s="10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9"/>
      <c r="S368" s="11"/>
      <c r="T368" s="9"/>
      <c r="U368" s="11"/>
      <c r="V368" s="9"/>
      <c r="W368" s="11"/>
      <c r="X368" s="9"/>
      <c r="Y368" s="11"/>
      <c r="Z368" s="11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ht="12.75" customHeight="1">
      <c r="A369" s="9"/>
      <c r="B369" s="9"/>
      <c r="C369" s="10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9"/>
      <c r="S369" s="11"/>
      <c r="T369" s="9"/>
      <c r="U369" s="11"/>
      <c r="V369" s="9"/>
      <c r="W369" s="11"/>
      <c r="X369" s="9"/>
      <c r="Y369" s="11"/>
      <c r="Z369" s="11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ht="12.75" customHeight="1">
      <c r="A370" s="9"/>
      <c r="B370" s="9"/>
      <c r="C370" s="10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9"/>
      <c r="S370" s="11"/>
      <c r="T370" s="9"/>
      <c r="U370" s="11"/>
      <c r="V370" s="9"/>
      <c r="W370" s="11"/>
      <c r="X370" s="9"/>
      <c r="Y370" s="11"/>
      <c r="Z370" s="11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ht="12.75" customHeight="1">
      <c r="A371" s="9"/>
      <c r="B371" s="9"/>
      <c r="C371" s="10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9"/>
      <c r="S371" s="11"/>
      <c r="T371" s="9"/>
      <c r="U371" s="11"/>
      <c r="V371" s="9"/>
      <c r="W371" s="11"/>
      <c r="X371" s="9"/>
      <c r="Y371" s="11"/>
      <c r="Z371" s="11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ht="12.75" customHeight="1">
      <c r="A372" s="9"/>
      <c r="B372" s="9"/>
      <c r="C372" s="10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9"/>
      <c r="S372" s="11"/>
      <c r="T372" s="9"/>
      <c r="U372" s="11"/>
      <c r="V372" s="9"/>
      <c r="W372" s="11"/>
      <c r="X372" s="9"/>
      <c r="Y372" s="11"/>
      <c r="Z372" s="11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ht="12.75" customHeight="1">
      <c r="A373" s="9"/>
      <c r="B373" s="9"/>
      <c r="C373" s="10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9"/>
      <c r="S373" s="11"/>
      <c r="T373" s="9"/>
      <c r="U373" s="11"/>
      <c r="V373" s="9"/>
      <c r="W373" s="11"/>
      <c r="X373" s="9"/>
      <c r="Y373" s="11"/>
      <c r="Z373" s="11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ht="12.75" customHeight="1">
      <c r="A374" s="9"/>
      <c r="B374" s="9"/>
      <c r="C374" s="10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9"/>
      <c r="S374" s="11"/>
      <c r="T374" s="9"/>
      <c r="U374" s="11"/>
      <c r="V374" s="9"/>
      <c r="W374" s="11"/>
      <c r="X374" s="9"/>
      <c r="Y374" s="11"/>
      <c r="Z374" s="11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ht="12.75" customHeight="1">
      <c r="A375" s="9"/>
      <c r="B375" s="9"/>
      <c r="C375" s="10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9"/>
      <c r="S375" s="11"/>
      <c r="T375" s="9"/>
      <c r="U375" s="11"/>
      <c r="V375" s="9"/>
      <c r="W375" s="11"/>
      <c r="X375" s="9"/>
      <c r="Y375" s="11"/>
      <c r="Z375" s="11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ht="12.75" customHeight="1">
      <c r="A376" s="9"/>
      <c r="B376" s="9"/>
      <c r="C376" s="10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9"/>
      <c r="S376" s="11"/>
      <c r="T376" s="9"/>
      <c r="U376" s="11"/>
      <c r="V376" s="9"/>
      <c r="W376" s="11"/>
      <c r="X376" s="9"/>
      <c r="Y376" s="11"/>
      <c r="Z376" s="11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ht="12.75" customHeight="1">
      <c r="A377" s="9"/>
      <c r="B377" s="9"/>
      <c r="C377" s="10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9"/>
      <c r="S377" s="11"/>
      <c r="T377" s="9"/>
      <c r="U377" s="11"/>
      <c r="V377" s="9"/>
      <c r="W377" s="11"/>
      <c r="X377" s="9"/>
      <c r="Y377" s="11"/>
      <c r="Z377" s="11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ht="12.75" customHeight="1">
      <c r="A378" s="9"/>
      <c r="B378" s="9"/>
      <c r="C378" s="10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9"/>
      <c r="S378" s="11"/>
      <c r="T378" s="9"/>
      <c r="U378" s="11"/>
      <c r="V378" s="9"/>
      <c r="W378" s="11"/>
      <c r="X378" s="9"/>
      <c r="Y378" s="11"/>
      <c r="Z378" s="11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ht="12.75" customHeight="1">
      <c r="A379" s="9"/>
      <c r="B379" s="9"/>
      <c r="C379" s="10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9"/>
      <c r="S379" s="11"/>
      <c r="T379" s="9"/>
      <c r="U379" s="11"/>
      <c r="V379" s="9"/>
      <c r="W379" s="11"/>
      <c r="X379" s="9"/>
      <c r="Y379" s="11"/>
      <c r="Z379" s="11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ht="12.75" customHeight="1">
      <c r="A380" s="9"/>
      <c r="B380" s="9"/>
      <c r="C380" s="10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9"/>
      <c r="S380" s="11"/>
      <c r="T380" s="9"/>
      <c r="U380" s="11"/>
      <c r="V380" s="9"/>
      <c r="W380" s="11"/>
      <c r="X380" s="9"/>
      <c r="Y380" s="11"/>
      <c r="Z380" s="11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ht="12.75" customHeight="1">
      <c r="A381" s="9"/>
      <c r="B381" s="9"/>
      <c r="C381" s="10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9"/>
      <c r="S381" s="11"/>
      <c r="T381" s="9"/>
      <c r="U381" s="11"/>
      <c r="V381" s="9"/>
      <c r="W381" s="11"/>
      <c r="X381" s="9"/>
      <c r="Y381" s="11"/>
      <c r="Z381" s="11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ht="12.75" customHeight="1">
      <c r="A382" s="9"/>
      <c r="B382" s="9"/>
      <c r="C382" s="10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9"/>
      <c r="S382" s="11"/>
      <c r="T382" s="9"/>
      <c r="U382" s="11"/>
      <c r="V382" s="9"/>
      <c r="W382" s="11"/>
      <c r="X382" s="9"/>
      <c r="Y382" s="11"/>
      <c r="Z382" s="11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ht="12.75" customHeight="1">
      <c r="A383" s="9"/>
      <c r="B383" s="9"/>
      <c r="C383" s="10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9"/>
      <c r="S383" s="11"/>
      <c r="T383" s="9"/>
      <c r="U383" s="11"/>
      <c r="V383" s="9"/>
      <c r="W383" s="11"/>
      <c r="X383" s="9"/>
      <c r="Y383" s="11"/>
      <c r="Z383" s="11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ht="12.75" customHeight="1">
      <c r="A384" s="9"/>
      <c r="B384" s="9"/>
      <c r="C384" s="10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9"/>
      <c r="S384" s="11"/>
      <c r="T384" s="9"/>
      <c r="U384" s="11"/>
      <c r="V384" s="9"/>
      <c r="W384" s="11"/>
      <c r="X384" s="9"/>
      <c r="Y384" s="11"/>
      <c r="Z384" s="11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ht="12.75" customHeight="1">
      <c r="A385" s="9"/>
      <c r="B385" s="9"/>
      <c r="C385" s="10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9"/>
      <c r="S385" s="11"/>
      <c r="T385" s="9"/>
      <c r="U385" s="11"/>
      <c r="V385" s="9"/>
      <c r="W385" s="11"/>
      <c r="X385" s="9"/>
      <c r="Y385" s="11"/>
      <c r="Z385" s="11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ht="12.75" customHeight="1">
      <c r="A386" s="9"/>
      <c r="B386" s="9"/>
      <c r="C386" s="10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9"/>
      <c r="S386" s="11"/>
      <c r="T386" s="9"/>
      <c r="U386" s="11"/>
      <c r="V386" s="9"/>
      <c r="W386" s="11"/>
      <c r="X386" s="9"/>
      <c r="Y386" s="11"/>
      <c r="Z386" s="11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ht="12.75" customHeight="1">
      <c r="A387" s="9"/>
      <c r="B387" s="9"/>
      <c r="C387" s="10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9"/>
      <c r="S387" s="11"/>
      <c r="T387" s="9"/>
      <c r="U387" s="11"/>
      <c r="V387" s="9"/>
      <c r="W387" s="11"/>
      <c r="X387" s="9"/>
      <c r="Y387" s="11"/>
      <c r="Z387" s="11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ht="12.75" customHeight="1">
      <c r="A388" s="9"/>
      <c r="B388" s="9"/>
      <c r="C388" s="10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9"/>
      <c r="S388" s="11"/>
      <c r="T388" s="9"/>
      <c r="U388" s="11"/>
      <c r="V388" s="9"/>
      <c r="W388" s="11"/>
      <c r="X388" s="9"/>
      <c r="Y388" s="11"/>
      <c r="Z388" s="11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ht="12.75" customHeight="1">
      <c r="A389" s="9"/>
      <c r="B389" s="9"/>
      <c r="C389" s="10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9"/>
      <c r="S389" s="11"/>
      <c r="T389" s="9"/>
      <c r="U389" s="11"/>
      <c r="V389" s="9"/>
      <c r="W389" s="11"/>
      <c r="X389" s="9"/>
      <c r="Y389" s="11"/>
      <c r="Z389" s="11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ht="12.75" customHeight="1">
      <c r="A390" s="9"/>
      <c r="B390" s="9"/>
      <c r="C390" s="10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9"/>
      <c r="S390" s="11"/>
      <c r="T390" s="9"/>
      <c r="U390" s="11"/>
      <c r="V390" s="9"/>
      <c r="W390" s="11"/>
      <c r="X390" s="9"/>
      <c r="Y390" s="11"/>
      <c r="Z390" s="11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ht="12.75" customHeight="1">
      <c r="A391" s="9"/>
      <c r="B391" s="9"/>
      <c r="C391" s="10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9"/>
      <c r="S391" s="11"/>
      <c r="T391" s="9"/>
      <c r="U391" s="11"/>
      <c r="V391" s="9"/>
      <c r="W391" s="11"/>
      <c r="X391" s="9"/>
      <c r="Y391" s="11"/>
      <c r="Z391" s="11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ht="12.75" customHeight="1">
      <c r="A392" s="9"/>
      <c r="B392" s="9"/>
      <c r="C392" s="10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9"/>
      <c r="S392" s="11"/>
      <c r="T392" s="9"/>
      <c r="U392" s="11"/>
      <c r="V392" s="9"/>
      <c r="W392" s="11"/>
      <c r="X392" s="9"/>
      <c r="Y392" s="11"/>
      <c r="Z392" s="11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ht="12.75" customHeight="1">
      <c r="A393" s="9"/>
      <c r="B393" s="9"/>
      <c r="C393" s="10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9"/>
      <c r="S393" s="11"/>
      <c r="T393" s="9"/>
      <c r="U393" s="11"/>
      <c r="V393" s="9"/>
      <c r="W393" s="11"/>
      <c r="X393" s="9"/>
      <c r="Y393" s="11"/>
      <c r="Z393" s="11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ht="12.75" customHeight="1">
      <c r="A394" s="9"/>
      <c r="B394" s="9"/>
      <c r="C394" s="10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9"/>
      <c r="S394" s="11"/>
      <c r="T394" s="9"/>
      <c r="U394" s="11"/>
      <c r="V394" s="9"/>
      <c r="W394" s="11"/>
      <c r="X394" s="9"/>
      <c r="Y394" s="11"/>
      <c r="Z394" s="11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ht="12.75" customHeight="1">
      <c r="A395" s="9"/>
      <c r="B395" s="9"/>
      <c r="C395" s="10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9"/>
      <c r="S395" s="11"/>
      <c r="T395" s="9"/>
      <c r="U395" s="11"/>
      <c r="V395" s="9"/>
      <c r="W395" s="11"/>
      <c r="X395" s="9"/>
      <c r="Y395" s="11"/>
      <c r="Z395" s="11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ht="12.75" customHeight="1">
      <c r="A396" s="9"/>
      <c r="B396" s="9"/>
      <c r="C396" s="10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9"/>
      <c r="S396" s="11"/>
      <c r="T396" s="9"/>
      <c r="U396" s="11"/>
      <c r="V396" s="9"/>
      <c r="W396" s="11"/>
      <c r="X396" s="9"/>
      <c r="Y396" s="11"/>
      <c r="Z396" s="11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ht="12.75" customHeight="1">
      <c r="A397" s="9"/>
      <c r="B397" s="9"/>
      <c r="C397" s="10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9"/>
      <c r="S397" s="11"/>
      <c r="T397" s="9"/>
      <c r="U397" s="11"/>
      <c r="V397" s="9"/>
      <c r="W397" s="11"/>
      <c r="X397" s="9"/>
      <c r="Y397" s="11"/>
      <c r="Z397" s="11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ht="12.75" customHeight="1">
      <c r="A398" s="9"/>
      <c r="B398" s="9"/>
      <c r="C398" s="10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9"/>
      <c r="S398" s="11"/>
      <c r="T398" s="9"/>
      <c r="U398" s="11"/>
      <c r="V398" s="9"/>
      <c r="W398" s="11"/>
      <c r="X398" s="9"/>
      <c r="Y398" s="11"/>
      <c r="Z398" s="11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ht="12.75" customHeight="1">
      <c r="A399" s="9"/>
      <c r="B399" s="9"/>
      <c r="C399" s="10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9"/>
      <c r="S399" s="11"/>
      <c r="T399" s="9"/>
      <c r="U399" s="11"/>
      <c r="V399" s="9"/>
      <c r="W399" s="11"/>
      <c r="X399" s="9"/>
      <c r="Y399" s="11"/>
      <c r="Z399" s="11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ht="12.75" customHeight="1">
      <c r="A400" s="9"/>
      <c r="B400" s="9"/>
      <c r="C400" s="10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9"/>
      <c r="S400" s="11"/>
      <c r="T400" s="9"/>
      <c r="U400" s="11"/>
      <c r="V400" s="9"/>
      <c r="W400" s="11"/>
      <c r="X400" s="9"/>
      <c r="Y400" s="11"/>
      <c r="Z400" s="11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ht="12.75" customHeight="1">
      <c r="A401" s="9"/>
      <c r="B401" s="9"/>
      <c r="C401" s="10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9"/>
      <c r="S401" s="11"/>
      <c r="T401" s="9"/>
      <c r="U401" s="11"/>
      <c r="V401" s="9"/>
      <c r="W401" s="11"/>
      <c r="X401" s="9"/>
      <c r="Y401" s="11"/>
      <c r="Z401" s="11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ht="12.75" customHeight="1">
      <c r="A402" s="9"/>
      <c r="B402" s="9"/>
      <c r="C402" s="10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9"/>
      <c r="S402" s="11"/>
      <c r="T402" s="9"/>
      <c r="U402" s="11"/>
      <c r="V402" s="9"/>
      <c r="W402" s="11"/>
      <c r="X402" s="9"/>
      <c r="Y402" s="11"/>
      <c r="Z402" s="11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ht="12.75" customHeight="1">
      <c r="A403" s="9"/>
      <c r="B403" s="9"/>
      <c r="C403" s="10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9"/>
      <c r="S403" s="11"/>
      <c r="T403" s="9"/>
      <c r="U403" s="11"/>
      <c r="V403" s="9"/>
      <c r="W403" s="11"/>
      <c r="X403" s="9"/>
      <c r="Y403" s="11"/>
      <c r="Z403" s="11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ht="12.75" customHeight="1">
      <c r="A404" s="9"/>
      <c r="B404" s="9"/>
      <c r="C404" s="10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9"/>
      <c r="S404" s="11"/>
      <c r="T404" s="9"/>
      <c r="U404" s="11"/>
      <c r="V404" s="9"/>
      <c r="W404" s="11"/>
      <c r="X404" s="9"/>
      <c r="Y404" s="11"/>
      <c r="Z404" s="11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ht="12.75" customHeight="1">
      <c r="A405" s="9"/>
      <c r="B405" s="9"/>
      <c r="C405" s="10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9"/>
      <c r="S405" s="11"/>
      <c r="T405" s="9"/>
      <c r="U405" s="11"/>
      <c r="V405" s="9"/>
      <c r="W405" s="11"/>
      <c r="X405" s="9"/>
      <c r="Y405" s="11"/>
      <c r="Z405" s="11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ht="12.75" customHeight="1">
      <c r="A406" s="9"/>
      <c r="B406" s="9"/>
      <c r="C406" s="10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9"/>
      <c r="S406" s="11"/>
      <c r="T406" s="9"/>
      <c r="U406" s="11"/>
      <c r="V406" s="9"/>
      <c r="W406" s="11"/>
      <c r="X406" s="9"/>
      <c r="Y406" s="11"/>
      <c r="Z406" s="11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ht="12.75" customHeight="1">
      <c r="A407" s="9"/>
      <c r="B407" s="9"/>
      <c r="C407" s="10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9"/>
      <c r="S407" s="11"/>
      <c r="T407" s="9"/>
      <c r="U407" s="11"/>
      <c r="V407" s="9"/>
      <c r="W407" s="11"/>
      <c r="X407" s="9"/>
      <c r="Y407" s="11"/>
      <c r="Z407" s="11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ht="12.75" customHeight="1">
      <c r="A408" s="9"/>
      <c r="B408" s="9"/>
      <c r="C408" s="10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9"/>
      <c r="S408" s="11"/>
      <c r="T408" s="9"/>
      <c r="U408" s="11"/>
      <c r="V408" s="9"/>
      <c r="W408" s="11"/>
      <c r="X408" s="9"/>
      <c r="Y408" s="11"/>
      <c r="Z408" s="11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ht="12.75" customHeight="1">
      <c r="A409" s="9"/>
      <c r="B409" s="9"/>
      <c r="C409" s="10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9"/>
      <c r="S409" s="11"/>
      <c r="T409" s="9"/>
      <c r="U409" s="11"/>
      <c r="V409" s="9"/>
      <c r="W409" s="11"/>
      <c r="X409" s="9"/>
      <c r="Y409" s="11"/>
      <c r="Z409" s="11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ht="12.75" customHeight="1">
      <c r="A410" s="9"/>
      <c r="B410" s="9"/>
      <c r="C410" s="10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9"/>
      <c r="S410" s="11"/>
      <c r="T410" s="9"/>
      <c r="U410" s="11"/>
      <c r="V410" s="9"/>
      <c r="W410" s="11"/>
      <c r="X410" s="9"/>
      <c r="Y410" s="11"/>
      <c r="Z410" s="11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ht="12.75" customHeight="1">
      <c r="A411" s="9"/>
      <c r="B411" s="9"/>
      <c r="C411" s="10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9"/>
      <c r="S411" s="11"/>
      <c r="T411" s="9"/>
      <c r="U411" s="11"/>
      <c r="V411" s="9"/>
      <c r="W411" s="11"/>
      <c r="X411" s="9"/>
      <c r="Y411" s="11"/>
      <c r="Z411" s="11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ht="12.75" customHeight="1">
      <c r="A412" s="9"/>
      <c r="B412" s="9"/>
      <c r="C412" s="10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9"/>
      <c r="S412" s="11"/>
      <c r="T412" s="9"/>
      <c r="U412" s="11"/>
      <c r="V412" s="9"/>
      <c r="W412" s="11"/>
      <c r="X412" s="9"/>
      <c r="Y412" s="11"/>
      <c r="Z412" s="11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ht="12.75" customHeight="1">
      <c r="A413" s="9"/>
      <c r="B413" s="9"/>
      <c r="C413" s="10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9"/>
      <c r="S413" s="11"/>
      <c r="T413" s="9"/>
      <c r="U413" s="11"/>
      <c r="V413" s="9"/>
      <c r="W413" s="11"/>
      <c r="X413" s="9"/>
      <c r="Y413" s="11"/>
      <c r="Z413" s="11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ht="12.75" customHeight="1">
      <c r="A414" s="9"/>
      <c r="B414" s="9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9"/>
      <c r="S414" s="11"/>
      <c r="T414" s="9"/>
      <c r="U414" s="11"/>
      <c r="V414" s="9"/>
      <c r="W414" s="11"/>
      <c r="X414" s="9"/>
      <c r="Y414" s="11"/>
      <c r="Z414" s="11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ht="12.75" customHeight="1">
      <c r="A415" s="9"/>
      <c r="B415" s="9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9"/>
      <c r="S415" s="11"/>
      <c r="T415" s="9"/>
      <c r="U415" s="11"/>
      <c r="V415" s="9"/>
      <c r="W415" s="11"/>
      <c r="X415" s="9"/>
      <c r="Y415" s="11"/>
      <c r="Z415" s="11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ht="12.75" customHeight="1">
      <c r="A416" s="9"/>
      <c r="B416" s="9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9"/>
      <c r="S416" s="11"/>
      <c r="T416" s="9"/>
      <c r="U416" s="11"/>
      <c r="V416" s="9"/>
      <c r="W416" s="11"/>
      <c r="X416" s="9"/>
      <c r="Y416" s="11"/>
      <c r="Z416" s="11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ht="12.75" customHeight="1">
      <c r="A417" s="9"/>
      <c r="B417" s="9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9"/>
      <c r="S417" s="11"/>
      <c r="T417" s="9"/>
      <c r="U417" s="11"/>
      <c r="V417" s="9"/>
      <c r="W417" s="11"/>
      <c r="X417" s="9"/>
      <c r="Y417" s="11"/>
      <c r="Z417" s="11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ht="12.75" customHeight="1">
      <c r="A418" s="9"/>
      <c r="B418" s="9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9"/>
      <c r="S418" s="11"/>
      <c r="T418" s="9"/>
      <c r="U418" s="11"/>
      <c r="V418" s="9"/>
      <c r="W418" s="11"/>
      <c r="X418" s="9"/>
      <c r="Y418" s="11"/>
      <c r="Z418" s="11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ht="12.75" customHeight="1">
      <c r="A419" s="9"/>
      <c r="B419" s="9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9"/>
      <c r="S419" s="11"/>
      <c r="T419" s="9"/>
      <c r="U419" s="11"/>
      <c r="V419" s="9"/>
      <c r="W419" s="11"/>
      <c r="X419" s="9"/>
      <c r="Y419" s="11"/>
      <c r="Z419" s="11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ht="12.75" customHeight="1">
      <c r="A420" s="9"/>
      <c r="B420" s="9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9"/>
      <c r="S420" s="11"/>
      <c r="T420" s="9"/>
      <c r="U420" s="11"/>
      <c r="V420" s="9"/>
      <c r="W420" s="11"/>
      <c r="X420" s="9"/>
      <c r="Y420" s="11"/>
      <c r="Z420" s="11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ht="12.75" customHeight="1">
      <c r="A421" s="9"/>
      <c r="B421" s="9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9"/>
      <c r="S421" s="11"/>
      <c r="T421" s="9"/>
      <c r="U421" s="11"/>
      <c r="V421" s="9"/>
      <c r="W421" s="11"/>
      <c r="X421" s="9"/>
      <c r="Y421" s="11"/>
      <c r="Z421" s="11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ht="12.75" customHeight="1">
      <c r="A422" s="9"/>
      <c r="B422" s="9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9"/>
      <c r="S422" s="11"/>
      <c r="T422" s="9"/>
      <c r="U422" s="11"/>
      <c r="V422" s="9"/>
      <c r="W422" s="11"/>
      <c r="X422" s="9"/>
      <c r="Y422" s="11"/>
      <c r="Z422" s="11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ht="12.75" customHeight="1">
      <c r="A423" s="9"/>
      <c r="B423" s="9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9"/>
      <c r="S423" s="11"/>
      <c r="T423" s="9"/>
      <c r="U423" s="11"/>
      <c r="V423" s="9"/>
      <c r="W423" s="11"/>
      <c r="X423" s="9"/>
      <c r="Y423" s="11"/>
      <c r="Z423" s="11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ht="12.75" customHeight="1">
      <c r="A424" s="9"/>
      <c r="B424" s="9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9"/>
      <c r="S424" s="11"/>
      <c r="T424" s="9"/>
      <c r="U424" s="11"/>
      <c r="V424" s="9"/>
      <c r="W424" s="11"/>
      <c r="X424" s="9"/>
      <c r="Y424" s="11"/>
      <c r="Z424" s="11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ht="12.75" customHeight="1">
      <c r="A425" s="9"/>
      <c r="B425" s="9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9"/>
      <c r="S425" s="11"/>
      <c r="T425" s="9"/>
      <c r="U425" s="11"/>
      <c r="V425" s="9"/>
      <c r="W425" s="11"/>
      <c r="X425" s="9"/>
      <c r="Y425" s="11"/>
      <c r="Z425" s="11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ht="12.75" customHeight="1">
      <c r="A426" s="9"/>
      <c r="B426" s="9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9"/>
      <c r="S426" s="11"/>
      <c r="T426" s="9"/>
      <c r="U426" s="11"/>
      <c r="V426" s="9"/>
      <c r="W426" s="11"/>
      <c r="X426" s="9"/>
      <c r="Y426" s="11"/>
      <c r="Z426" s="11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ht="12.75" customHeight="1">
      <c r="A427" s="9"/>
      <c r="B427" s="9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9"/>
      <c r="S427" s="11"/>
      <c r="T427" s="9"/>
      <c r="U427" s="11"/>
      <c r="V427" s="9"/>
      <c r="W427" s="11"/>
      <c r="X427" s="9"/>
      <c r="Y427" s="11"/>
      <c r="Z427" s="11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ht="12.75" customHeight="1">
      <c r="A428" s="9"/>
      <c r="B428" s="9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9"/>
      <c r="S428" s="11"/>
      <c r="T428" s="9"/>
      <c r="U428" s="11"/>
      <c r="V428" s="9"/>
      <c r="W428" s="11"/>
      <c r="X428" s="9"/>
      <c r="Y428" s="11"/>
      <c r="Z428" s="11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ht="12.75" customHeight="1">
      <c r="A429" s="9"/>
      <c r="B429" s="9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9"/>
      <c r="S429" s="11"/>
      <c r="T429" s="9"/>
      <c r="U429" s="11"/>
      <c r="V429" s="9"/>
      <c r="W429" s="11"/>
      <c r="X429" s="9"/>
      <c r="Y429" s="11"/>
      <c r="Z429" s="11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ht="12.75" customHeight="1">
      <c r="A430" s="9"/>
      <c r="B430" s="9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9"/>
      <c r="S430" s="11"/>
      <c r="T430" s="9"/>
      <c r="U430" s="11"/>
      <c r="V430" s="9"/>
      <c r="W430" s="11"/>
      <c r="X430" s="9"/>
      <c r="Y430" s="11"/>
      <c r="Z430" s="11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ht="12.75" customHeight="1">
      <c r="A431" s="9"/>
      <c r="B431" s="9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9"/>
      <c r="S431" s="11"/>
      <c r="T431" s="9"/>
      <c r="U431" s="11"/>
      <c r="V431" s="9"/>
      <c r="W431" s="11"/>
      <c r="X431" s="9"/>
      <c r="Y431" s="11"/>
      <c r="Z431" s="11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ht="12.75" customHeight="1">
      <c r="A432" s="9"/>
      <c r="B432" s="9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9"/>
      <c r="S432" s="11"/>
      <c r="T432" s="9"/>
      <c r="U432" s="11"/>
      <c r="V432" s="9"/>
      <c r="W432" s="11"/>
      <c r="X432" s="9"/>
      <c r="Y432" s="11"/>
      <c r="Z432" s="11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ht="12.75" customHeight="1">
      <c r="A433" s="9"/>
      <c r="B433" s="9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9"/>
      <c r="S433" s="11"/>
      <c r="T433" s="9"/>
      <c r="U433" s="11"/>
      <c r="V433" s="9"/>
      <c r="W433" s="11"/>
      <c r="X433" s="9"/>
      <c r="Y433" s="11"/>
      <c r="Z433" s="11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ht="12.75" customHeight="1">
      <c r="A434" s="9"/>
      <c r="B434" s="9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9"/>
      <c r="S434" s="11"/>
      <c r="T434" s="9"/>
      <c r="U434" s="11"/>
      <c r="V434" s="9"/>
      <c r="W434" s="11"/>
      <c r="X434" s="9"/>
      <c r="Y434" s="11"/>
      <c r="Z434" s="11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ht="12.75" customHeight="1">
      <c r="A435" s="9"/>
      <c r="B435" s="9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9"/>
      <c r="S435" s="11"/>
      <c r="T435" s="9"/>
      <c r="U435" s="11"/>
      <c r="V435" s="9"/>
      <c r="W435" s="11"/>
      <c r="X435" s="9"/>
      <c r="Y435" s="11"/>
      <c r="Z435" s="11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ht="12.75" customHeight="1">
      <c r="A436" s="9"/>
      <c r="B436" s="9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9"/>
      <c r="S436" s="11"/>
      <c r="T436" s="9"/>
      <c r="U436" s="11"/>
      <c r="V436" s="9"/>
      <c r="W436" s="11"/>
      <c r="X436" s="9"/>
      <c r="Y436" s="11"/>
      <c r="Z436" s="11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ht="12.75" customHeight="1">
      <c r="A437" s="9"/>
      <c r="B437" s="9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9"/>
      <c r="S437" s="11"/>
      <c r="T437" s="9"/>
      <c r="U437" s="11"/>
      <c r="V437" s="9"/>
      <c r="W437" s="11"/>
      <c r="X437" s="9"/>
      <c r="Y437" s="11"/>
      <c r="Z437" s="11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ht="12.75" customHeight="1">
      <c r="A438" s="9"/>
      <c r="B438" s="9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9"/>
      <c r="S438" s="11"/>
      <c r="T438" s="9"/>
      <c r="U438" s="11"/>
      <c r="V438" s="9"/>
      <c r="W438" s="11"/>
      <c r="X438" s="9"/>
      <c r="Y438" s="11"/>
      <c r="Z438" s="11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ht="12.75" customHeight="1">
      <c r="A439" s="9"/>
      <c r="B439" s="9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9"/>
      <c r="S439" s="11"/>
      <c r="T439" s="9"/>
      <c r="U439" s="11"/>
      <c r="V439" s="9"/>
      <c r="W439" s="11"/>
      <c r="X439" s="9"/>
      <c r="Y439" s="11"/>
      <c r="Z439" s="11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ht="12.75" customHeight="1">
      <c r="A440" s="9"/>
      <c r="B440" s="9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9"/>
      <c r="S440" s="11"/>
      <c r="T440" s="9"/>
      <c r="U440" s="11"/>
      <c r="V440" s="9"/>
      <c r="W440" s="11"/>
      <c r="X440" s="9"/>
      <c r="Y440" s="11"/>
      <c r="Z440" s="11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ht="12.75" customHeight="1">
      <c r="A441" s="9"/>
      <c r="B441" s="9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9"/>
      <c r="S441" s="11"/>
      <c r="T441" s="9"/>
      <c r="U441" s="11"/>
      <c r="V441" s="9"/>
      <c r="W441" s="11"/>
      <c r="X441" s="9"/>
      <c r="Y441" s="11"/>
      <c r="Z441" s="11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ht="12.75" customHeight="1">
      <c r="A442" s="9"/>
      <c r="B442" s="9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9"/>
      <c r="S442" s="11"/>
      <c r="T442" s="9"/>
      <c r="U442" s="11"/>
      <c r="V442" s="9"/>
      <c r="W442" s="11"/>
      <c r="X442" s="9"/>
      <c r="Y442" s="11"/>
      <c r="Z442" s="11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ht="12.75" customHeight="1">
      <c r="A443" s="9"/>
      <c r="B443" s="9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9"/>
      <c r="S443" s="11"/>
      <c r="T443" s="9"/>
      <c r="U443" s="11"/>
      <c r="V443" s="9"/>
      <c r="W443" s="11"/>
      <c r="X443" s="9"/>
      <c r="Y443" s="11"/>
      <c r="Z443" s="11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ht="12.75" customHeight="1">
      <c r="A444" s="9"/>
      <c r="B444" s="9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9"/>
      <c r="S444" s="11"/>
      <c r="T444" s="9"/>
      <c r="U444" s="11"/>
      <c r="V444" s="9"/>
      <c r="W444" s="11"/>
      <c r="X444" s="9"/>
      <c r="Y444" s="11"/>
      <c r="Z444" s="11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ht="12.75" customHeight="1">
      <c r="A445" s="9"/>
      <c r="B445" s="9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9"/>
      <c r="S445" s="11"/>
      <c r="T445" s="9"/>
      <c r="U445" s="11"/>
      <c r="V445" s="9"/>
      <c r="W445" s="11"/>
      <c r="X445" s="9"/>
      <c r="Y445" s="11"/>
      <c r="Z445" s="11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ht="12.75" customHeight="1">
      <c r="A446" s="9"/>
      <c r="B446" s="9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9"/>
      <c r="S446" s="11"/>
      <c r="T446" s="9"/>
      <c r="U446" s="11"/>
      <c r="V446" s="9"/>
      <c r="W446" s="11"/>
      <c r="X446" s="9"/>
      <c r="Y446" s="11"/>
      <c r="Z446" s="11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ht="12.75" customHeight="1">
      <c r="A447" s="9"/>
      <c r="B447" s="9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9"/>
      <c r="S447" s="11"/>
      <c r="T447" s="9"/>
      <c r="U447" s="11"/>
      <c r="V447" s="9"/>
      <c r="W447" s="11"/>
      <c r="X447" s="9"/>
      <c r="Y447" s="11"/>
      <c r="Z447" s="11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ht="12.75" customHeight="1">
      <c r="A448" s="9"/>
      <c r="B448" s="9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9"/>
      <c r="S448" s="11"/>
      <c r="T448" s="9"/>
      <c r="U448" s="11"/>
      <c r="V448" s="9"/>
      <c r="W448" s="11"/>
      <c r="X448" s="9"/>
      <c r="Y448" s="11"/>
      <c r="Z448" s="11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ht="12.75" customHeight="1">
      <c r="A449" s="9"/>
      <c r="B449" s="9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9"/>
      <c r="S449" s="11"/>
      <c r="T449" s="9"/>
      <c r="U449" s="11"/>
      <c r="V449" s="9"/>
      <c r="W449" s="11"/>
      <c r="X449" s="9"/>
      <c r="Y449" s="11"/>
      <c r="Z449" s="11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ht="12.75" customHeight="1">
      <c r="A450" s="9"/>
      <c r="B450" s="9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9"/>
      <c r="S450" s="11"/>
      <c r="T450" s="9"/>
      <c r="U450" s="11"/>
      <c r="V450" s="9"/>
      <c r="W450" s="11"/>
      <c r="X450" s="9"/>
      <c r="Y450" s="11"/>
      <c r="Z450" s="11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ht="12.75" customHeight="1">
      <c r="A451" s="9"/>
      <c r="B451" s="9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9"/>
      <c r="S451" s="11"/>
      <c r="T451" s="9"/>
      <c r="U451" s="11"/>
      <c r="V451" s="9"/>
      <c r="W451" s="11"/>
      <c r="X451" s="9"/>
      <c r="Y451" s="11"/>
      <c r="Z451" s="11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ht="12.75" customHeight="1">
      <c r="A452" s="9"/>
      <c r="B452" s="9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9"/>
      <c r="S452" s="11"/>
      <c r="T452" s="9"/>
      <c r="U452" s="11"/>
      <c r="V452" s="9"/>
      <c r="W452" s="11"/>
      <c r="X452" s="9"/>
      <c r="Y452" s="11"/>
      <c r="Z452" s="11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ht="12.75" customHeight="1">
      <c r="A453" s="9"/>
      <c r="B453" s="9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9"/>
      <c r="S453" s="11"/>
      <c r="T453" s="9"/>
      <c r="U453" s="11"/>
      <c r="V453" s="9"/>
      <c r="W453" s="11"/>
      <c r="X453" s="9"/>
      <c r="Y453" s="11"/>
      <c r="Z453" s="11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ht="12.75" customHeight="1">
      <c r="A454" s="9"/>
      <c r="B454" s="9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9"/>
      <c r="S454" s="11"/>
      <c r="T454" s="9"/>
      <c r="U454" s="11"/>
      <c r="V454" s="9"/>
      <c r="W454" s="11"/>
      <c r="X454" s="9"/>
      <c r="Y454" s="11"/>
      <c r="Z454" s="11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ht="12.75" customHeight="1">
      <c r="A455" s="9"/>
      <c r="B455" s="9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9"/>
      <c r="S455" s="11"/>
      <c r="T455" s="9"/>
      <c r="U455" s="11"/>
      <c r="V455" s="9"/>
      <c r="W455" s="11"/>
      <c r="X455" s="9"/>
      <c r="Y455" s="11"/>
      <c r="Z455" s="11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ht="12.75" customHeight="1">
      <c r="A456" s="9"/>
      <c r="B456" s="9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9"/>
      <c r="S456" s="11"/>
      <c r="T456" s="9"/>
      <c r="U456" s="11"/>
      <c r="V456" s="9"/>
      <c r="W456" s="11"/>
      <c r="X456" s="9"/>
      <c r="Y456" s="11"/>
      <c r="Z456" s="11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ht="12.75" customHeight="1">
      <c r="A457" s="9"/>
      <c r="B457" s="9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9"/>
      <c r="S457" s="11"/>
      <c r="T457" s="9"/>
      <c r="U457" s="11"/>
      <c r="V457" s="9"/>
      <c r="W457" s="11"/>
      <c r="X457" s="9"/>
      <c r="Y457" s="11"/>
      <c r="Z457" s="11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ht="12.75" customHeight="1">
      <c r="A458" s="9"/>
      <c r="B458" s="9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9"/>
      <c r="S458" s="11"/>
      <c r="T458" s="9"/>
      <c r="U458" s="11"/>
      <c r="V458" s="9"/>
      <c r="W458" s="11"/>
      <c r="X458" s="9"/>
      <c r="Y458" s="11"/>
      <c r="Z458" s="11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ht="12.75" customHeight="1">
      <c r="A459" s="9"/>
      <c r="B459" s="9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9"/>
      <c r="S459" s="11"/>
      <c r="T459" s="9"/>
      <c r="U459" s="11"/>
      <c r="V459" s="9"/>
      <c r="W459" s="11"/>
      <c r="X459" s="9"/>
      <c r="Y459" s="11"/>
      <c r="Z459" s="11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ht="12.75" customHeight="1">
      <c r="A460" s="9"/>
      <c r="B460" s="9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9"/>
      <c r="S460" s="11"/>
      <c r="T460" s="9"/>
      <c r="U460" s="11"/>
      <c r="V460" s="9"/>
      <c r="W460" s="11"/>
      <c r="X460" s="9"/>
      <c r="Y460" s="11"/>
      <c r="Z460" s="11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ht="12.75" customHeight="1">
      <c r="A461" s="9"/>
      <c r="B461" s="9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9"/>
      <c r="S461" s="11"/>
      <c r="T461" s="9"/>
      <c r="U461" s="11"/>
      <c r="V461" s="9"/>
      <c r="W461" s="11"/>
      <c r="X461" s="9"/>
      <c r="Y461" s="11"/>
      <c r="Z461" s="11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ht="12.75" customHeight="1">
      <c r="A462" s="9"/>
      <c r="B462" s="9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9"/>
      <c r="S462" s="11"/>
      <c r="T462" s="9"/>
      <c r="U462" s="11"/>
      <c r="V462" s="9"/>
      <c r="W462" s="11"/>
      <c r="X462" s="9"/>
      <c r="Y462" s="11"/>
      <c r="Z462" s="11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ht="12.75" customHeight="1">
      <c r="A463" s="9"/>
      <c r="B463" s="9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9"/>
      <c r="S463" s="11"/>
      <c r="T463" s="9"/>
      <c r="U463" s="11"/>
      <c r="V463" s="9"/>
      <c r="W463" s="11"/>
      <c r="X463" s="9"/>
      <c r="Y463" s="11"/>
      <c r="Z463" s="11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ht="12.75" customHeight="1">
      <c r="A464" s="9"/>
      <c r="B464" s="9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9"/>
      <c r="S464" s="11"/>
      <c r="T464" s="9"/>
      <c r="U464" s="11"/>
      <c r="V464" s="9"/>
      <c r="W464" s="11"/>
      <c r="X464" s="9"/>
      <c r="Y464" s="11"/>
      <c r="Z464" s="11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ht="12.75" customHeight="1">
      <c r="A465" s="9"/>
      <c r="B465" s="9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9"/>
      <c r="S465" s="11"/>
      <c r="T465" s="9"/>
      <c r="U465" s="11"/>
      <c r="V465" s="9"/>
      <c r="W465" s="11"/>
      <c r="X465" s="9"/>
      <c r="Y465" s="11"/>
      <c r="Z465" s="11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ht="12.75" customHeight="1">
      <c r="A466" s="9"/>
      <c r="B466" s="9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9"/>
      <c r="S466" s="11"/>
      <c r="T466" s="9"/>
      <c r="U466" s="11"/>
      <c r="V466" s="9"/>
      <c r="W466" s="11"/>
      <c r="X466" s="9"/>
      <c r="Y466" s="11"/>
      <c r="Z466" s="11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ht="12.75" customHeight="1">
      <c r="A467" s="9"/>
      <c r="B467" s="9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9"/>
      <c r="S467" s="11"/>
      <c r="T467" s="9"/>
      <c r="U467" s="11"/>
      <c r="V467" s="9"/>
      <c r="W467" s="11"/>
      <c r="X467" s="9"/>
      <c r="Y467" s="11"/>
      <c r="Z467" s="11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ht="12.75" customHeight="1">
      <c r="A468" s="9"/>
      <c r="B468" s="9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9"/>
      <c r="S468" s="11"/>
      <c r="T468" s="9"/>
      <c r="U468" s="11"/>
      <c r="V468" s="9"/>
      <c r="W468" s="11"/>
      <c r="X468" s="9"/>
      <c r="Y468" s="11"/>
      <c r="Z468" s="11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ht="12.75" customHeight="1">
      <c r="A469" s="9"/>
      <c r="B469" s="9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9"/>
      <c r="S469" s="11"/>
      <c r="T469" s="9"/>
      <c r="U469" s="11"/>
      <c r="V469" s="9"/>
      <c r="W469" s="11"/>
      <c r="X469" s="9"/>
      <c r="Y469" s="11"/>
      <c r="Z469" s="11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ht="12.75" customHeight="1">
      <c r="A470" s="9"/>
      <c r="B470" s="9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9"/>
      <c r="S470" s="11"/>
      <c r="T470" s="9"/>
      <c r="U470" s="11"/>
      <c r="V470" s="9"/>
      <c r="W470" s="11"/>
      <c r="X470" s="9"/>
      <c r="Y470" s="11"/>
      <c r="Z470" s="11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ht="12.75" customHeight="1">
      <c r="A471" s="9"/>
      <c r="B471" s="9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9"/>
      <c r="S471" s="11"/>
      <c r="T471" s="9"/>
      <c r="U471" s="11"/>
      <c r="V471" s="9"/>
      <c r="W471" s="11"/>
      <c r="X471" s="9"/>
      <c r="Y471" s="11"/>
      <c r="Z471" s="11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ht="12.75" customHeight="1">
      <c r="A472" s="9"/>
      <c r="B472" s="9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9"/>
      <c r="S472" s="11"/>
      <c r="T472" s="9"/>
      <c r="U472" s="11"/>
      <c r="V472" s="9"/>
      <c r="W472" s="11"/>
      <c r="X472" s="9"/>
      <c r="Y472" s="11"/>
      <c r="Z472" s="11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ht="12.75" customHeight="1">
      <c r="A473" s="9"/>
      <c r="B473" s="9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9"/>
      <c r="S473" s="11"/>
      <c r="T473" s="9"/>
      <c r="U473" s="11"/>
      <c r="V473" s="9"/>
      <c r="W473" s="11"/>
      <c r="X473" s="9"/>
      <c r="Y473" s="11"/>
      <c r="Z473" s="11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ht="12.75" customHeight="1">
      <c r="A474" s="9"/>
      <c r="B474" s="9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9"/>
      <c r="S474" s="11"/>
      <c r="T474" s="9"/>
      <c r="U474" s="11"/>
      <c r="V474" s="9"/>
      <c r="W474" s="11"/>
      <c r="X474" s="9"/>
      <c r="Y474" s="11"/>
      <c r="Z474" s="11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ht="12.75" customHeight="1">
      <c r="A475" s="9"/>
      <c r="B475" s="9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9"/>
      <c r="S475" s="11"/>
      <c r="T475" s="9"/>
      <c r="U475" s="11"/>
      <c r="V475" s="9"/>
      <c r="W475" s="11"/>
      <c r="X475" s="9"/>
      <c r="Y475" s="11"/>
      <c r="Z475" s="11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ht="12.75" customHeight="1">
      <c r="A476" s="9"/>
      <c r="B476" s="9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9"/>
      <c r="S476" s="11"/>
      <c r="T476" s="9"/>
      <c r="U476" s="11"/>
      <c r="V476" s="9"/>
      <c r="W476" s="11"/>
      <c r="X476" s="9"/>
      <c r="Y476" s="11"/>
      <c r="Z476" s="11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ht="12.75" customHeight="1">
      <c r="A477" s="9"/>
      <c r="B477" s="9"/>
      <c r="C477" s="10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9"/>
      <c r="S477" s="11"/>
      <c r="T477" s="9"/>
      <c r="U477" s="11"/>
      <c r="V477" s="9"/>
      <c r="W477" s="11"/>
      <c r="X477" s="9"/>
      <c r="Y477" s="11"/>
      <c r="Z477" s="11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ht="12.75" customHeight="1">
      <c r="A478" s="9"/>
      <c r="B478" s="9"/>
      <c r="C478" s="10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9"/>
      <c r="S478" s="11"/>
      <c r="T478" s="9"/>
      <c r="U478" s="11"/>
      <c r="V478" s="9"/>
      <c r="W478" s="11"/>
      <c r="X478" s="9"/>
      <c r="Y478" s="11"/>
      <c r="Z478" s="11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ht="12.75" customHeight="1">
      <c r="A479" s="9"/>
      <c r="B479" s="9"/>
      <c r="C479" s="10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9"/>
      <c r="S479" s="11"/>
      <c r="T479" s="9"/>
      <c r="U479" s="11"/>
      <c r="V479" s="9"/>
      <c r="W479" s="11"/>
      <c r="X479" s="9"/>
      <c r="Y479" s="11"/>
      <c r="Z479" s="11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ht="12.75" customHeight="1">
      <c r="A480" s="9"/>
      <c r="B480" s="9"/>
      <c r="C480" s="10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9"/>
      <c r="S480" s="11"/>
      <c r="T480" s="9"/>
      <c r="U480" s="11"/>
      <c r="V480" s="9"/>
      <c r="W480" s="11"/>
      <c r="X480" s="9"/>
      <c r="Y480" s="11"/>
      <c r="Z480" s="11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ht="12.75" customHeight="1">
      <c r="A481" s="9"/>
      <c r="B481" s="9"/>
      <c r="C481" s="10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9"/>
      <c r="S481" s="11"/>
      <c r="T481" s="9"/>
      <c r="U481" s="11"/>
      <c r="V481" s="9"/>
      <c r="W481" s="11"/>
      <c r="X481" s="9"/>
      <c r="Y481" s="11"/>
      <c r="Z481" s="11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ht="12.75" customHeight="1">
      <c r="A482" s="9"/>
      <c r="B482" s="9"/>
      <c r="C482" s="10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9"/>
      <c r="S482" s="11"/>
      <c r="T482" s="9"/>
      <c r="U482" s="11"/>
      <c r="V482" s="9"/>
      <c r="W482" s="11"/>
      <c r="X482" s="9"/>
      <c r="Y482" s="11"/>
      <c r="Z482" s="11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ht="12.75" customHeight="1">
      <c r="A483" s="9"/>
      <c r="B483" s="9"/>
      <c r="C483" s="10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9"/>
      <c r="S483" s="11"/>
      <c r="T483" s="9"/>
      <c r="U483" s="11"/>
      <c r="V483" s="9"/>
      <c r="W483" s="11"/>
      <c r="X483" s="9"/>
      <c r="Y483" s="11"/>
      <c r="Z483" s="11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ht="12.75" customHeight="1">
      <c r="A484" s="9"/>
      <c r="B484" s="9"/>
      <c r="C484" s="10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9"/>
      <c r="S484" s="11"/>
      <c r="T484" s="9"/>
      <c r="U484" s="11"/>
      <c r="V484" s="9"/>
      <c r="W484" s="11"/>
      <c r="X484" s="9"/>
      <c r="Y484" s="11"/>
      <c r="Z484" s="11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ht="12.75" customHeight="1">
      <c r="A485" s="9"/>
      <c r="B485" s="9"/>
      <c r="C485" s="10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9"/>
      <c r="S485" s="11"/>
      <c r="T485" s="9"/>
      <c r="U485" s="11"/>
      <c r="V485" s="9"/>
      <c r="W485" s="11"/>
      <c r="X485" s="9"/>
      <c r="Y485" s="11"/>
      <c r="Z485" s="11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ht="12.75" customHeight="1">
      <c r="A486" s="9"/>
      <c r="B486" s="9"/>
      <c r="C486" s="10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9"/>
      <c r="S486" s="11"/>
      <c r="T486" s="9"/>
      <c r="U486" s="11"/>
      <c r="V486" s="9"/>
      <c r="W486" s="11"/>
      <c r="X486" s="9"/>
      <c r="Y486" s="11"/>
      <c r="Z486" s="11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ht="12.75" customHeight="1">
      <c r="A487" s="9"/>
      <c r="B487" s="9"/>
      <c r="C487" s="10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9"/>
      <c r="S487" s="11"/>
      <c r="T487" s="9"/>
      <c r="U487" s="11"/>
      <c r="V487" s="9"/>
      <c r="W487" s="11"/>
      <c r="X487" s="9"/>
      <c r="Y487" s="11"/>
      <c r="Z487" s="11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ht="12.75" customHeight="1">
      <c r="A488" s="9"/>
      <c r="B488" s="9"/>
      <c r="C488" s="10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9"/>
      <c r="S488" s="11"/>
      <c r="T488" s="9"/>
      <c r="U488" s="11"/>
      <c r="V488" s="9"/>
      <c r="W488" s="11"/>
      <c r="X488" s="9"/>
      <c r="Y488" s="11"/>
      <c r="Z488" s="11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ht="12.75" customHeight="1">
      <c r="A489" s="9"/>
      <c r="B489" s="9"/>
      <c r="C489" s="10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9"/>
      <c r="S489" s="11"/>
      <c r="T489" s="9"/>
      <c r="U489" s="11"/>
      <c r="V489" s="9"/>
      <c r="W489" s="11"/>
      <c r="X489" s="9"/>
      <c r="Y489" s="11"/>
      <c r="Z489" s="11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ht="12.75" customHeight="1">
      <c r="A490" s="9"/>
      <c r="B490" s="9"/>
      <c r="C490" s="10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9"/>
      <c r="S490" s="11"/>
      <c r="T490" s="9"/>
      <c r="U490" s="11"/>
      <c r="V490" s="9"/>
      <c r="W490" s="11"/>
      <c r="X490" s="9"/>
      <c r="Y490" s="11"/>
      <c r="Z490" s="11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ht="12.75" customHeight="1">
      <c r="A491" s="9"/>
      <c r="B491" s="9"/>
      <c r="C491" s="10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9"/>
      <c r="S491" s="11"/>
      <c r="T491" s="9"/>
      <c r="U491" s="11"/>
      <c r="V491" s="9"/>
      <c r="W491" s="11"/>
      <c r="X491" s="9"/>
      <c r="Y491" s="11"/>
      <c r="Z491" s="11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ht="12.75" customHeight="1">
      <c r="A492" s="9"/>
      <c r="B492" s="9"/>
      <c r="C492" s="10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9"/>
      <c r="S492" s="11"/>
      <c r="T492" s="9"/>
      <c r="U492" s="11"/>
      <c r="V492" s="9"/>
      <c r="W492" s="11"/>
      <c r="X492" s="9"/>
      <c r="Y492" s="11"/>
      <c r="Z492" s="11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ht="12.75" customHeight="1">
      <c r="A493" s="9"/>
      <c r="B493" s="9"/>
      <c r="C493" s="10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9"/>
      <c r="S493" s="11"/>
      <c r="T493" s="9"/>
      <c r="U493" s="11"/>
      <c r="V493" s="9"/>
      <c r="W493" s="11"/>
      <c r="X493" s="9"/>
      <c r="Y493" s="11"/>
      <c r="Z493" s="11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ht="12.75" customHeight="1">
      <c r="A494" s="9"/>
      <c r="B494" s="9"/>
      <c r="C494" s="10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9"/>
      <c r="S494" s="11"/>
      <c r="T494" s="9"/>
      <c r="U494" s="11"/>
      <c r="V494" s="9"/>
      <c r="W494" s="11"/>
      <c r="X494" s="9"/>
      <c r="Y494" s="11"/>
      <c r="Z494" s="11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ht="12.75" customHeight="1">
      <c r="A495" s="9"/>
      <c r="B495" s="9"/>
      <c r="C495" s="10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9"/>
      <c r="S495" s="11"/>
      <c r="T495" s="9"/>
      <c r="U495" s="11"/>
      <c r="V495" s="9"/>
      <c r="W495" s="11"/>
      <c r="X495" s="9"/>
      <c r="Y495" s="11"/>
      <c r="Z495" s="11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ht="12.75" customHeight="1">
      <c r="A496" s="9"/>
      <c r="B496" s="9"/>
      <c r="C496" s="10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9"/>
      <c r="S496" s="11"/>
      <c r="T496" s="9"/>
      <c r="U496" s="11"/>
      <c r="V496" s="9"/>
      <c r="W496" s="11"/>
      <c r="X496" s="9"/>
      <c r="Y496" s="11"/>
      <c r="Z496" s="11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ht="12.75" customHeight="1">
      <c r="A497" s="9"/>
      <c r="B497" s="9"/>
      <c r="C497" s="10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9"/>
      <c r="S497" s="11"/>
      <c r="T497" s="9"/>
      <c r="U497" s="11"/>
      <c r="V497" s="9"/>
      <c r="W497" s="11"/>
      <c r="X497" s="9"/>
      <c r="Y497" s="11"/>
      <c r="Z497" s="11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ht="12.75" customHeight="1">
      <c r="A498" s="9"/>
      <c r="B498" s="9"/>
      <c r="C498" s="10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9"/>
      <c r="S498" s="11"/>
      <c r="T498" s="9"/>
      <c r="U498" s="11"/>
      <c r="V498" s="9"/>
      <c r="W498" s="11"/>
      <c r="X498" s="9"/>
      <c r="Y498" s="11"/>
      <c r="Z498" s="11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ht="12.75" customHeight="1">
      <c r="A499" s="9"/>
      <c r="B499" s="9"/>
      <c r="C499" s="10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9"/>
      <c r="S499" s="11"/>
      <c r="T499" s="9"/>
      <c r="U499" s="11"/>
      <c r="V499" s="9"/>
      <c r="W499" s="11"/>
      <c r="X499" s="9"/>
      <c r="Y499" s="11"/>
      <c r="Z499" s="11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ht="12.75" customHeight="1">
      <c r="A500" s="9"/>
      <c r="B500" s="9"/>
      <c r="C500" s="10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9"/>
      <c r="S500" s="11"/>
      <c r="T500" s="9"/>
      <c r="U500" s="11"/>
      <c r="V500" s="9"/>
      <c r="W500" s="11"/>
      <c r="X500" s="9"/>
      <c r="Y500" s="11"/>
      <c r="Z500" s="11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ht="12.75" customHeight="1">
      <c r="A501" s="9"/>
      <c r="B501" s="9"/>
      <c r="C501" s="10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9"/>
      <c r="S501" s="11"/>
      <c r="T501" s="9"/>
      <c r="U501" s="11"/>
      <c r="V501" s="9"/>
      <c r="W501" s="11"/>
      <c r="X501" s="9"/>
      <c r="Y501" s="11"/>
      <c r="Z501" s="11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ht="12.75" customHeight="1">
      <c r="A502" s="9"/>
      <c r="B502" s="9"/>
      <c r="C502" s="10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9"/>
      <c r="S502" s="11"/>
      <c r="T502" s="9"/>
      <c r="U502" s="11"/>
      <c r="V502" s="9"/>
      <c r="W502" s="11"/>
      <c r="X502" s="9"/>
      <c r="Y502" s="11"/>
      <c r="Z502" s="11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ht="12.75" customHeight="1">
      <c r="A503" s="9"/>
      <c r="B503" s="9"/>
      <c r="C503" s="10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9"/>
      <c r="S503" s="11"/>
      <c r="T503" s="9"/>
      <c r="U503" s="11"/>
      <c r="V503" s="9"/>
      <c r="W503" s="11"/>
      <c r="X503" s="9"/>
      <c r="Y503" s="11"/>
      <c r="Z503" s="11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ht="12.75" customHeight="1">
      <c r="A504" s="9"/>
      <c r="B504" s="9"/>
      <c r="C504" s="10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9"/>
      <c r="S504" s="11"/>
      <c r="T504" s="9"/>
      <c r="U504" s="11"/>
      <c r="V504" s="9"/>
      <c r="W504" s="11"/>
      <c r="X504" s="9"/>
      <c r="Y504" s="11"/>
      <c r="Z504" s="11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ht="12.75" customHeight="1">
      <c r="A505" s="9"/>
      <c r="B505" s="9"/>
      <c r="C505" s="10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9"/>
      <c r="S505" s="11"/>
      <c r="T505" s="9"/>
      <c r="U505" s="11"/>
      <c r="V505" s="9"/>
      <c r="W505" s="11"/>
      <c r="X505" s="9"/>
      <c r="Y505" s="11"/>
      <c r="Z505" s="11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ht="12.75" customHeight="1">
      <c r="A506" s="9"/>
      <c r="B506" s="9"/>
      <c r="C506" s="10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9"/>
      <c r="S506" s="11"/>
      <c r="T506" s="9"/>
      <c r="U506" s="11"/>
      <c r="V506" s="9"/>
      <c r="W506" s="11"/>
      <c r="X506" s="9"/>
      <c r="Y506" s="11"/>
      <c r="Z506" s="11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ht="12.75" customHeight="1">
      <c r="A507" s="9"/>
      <c r="B507" s="9"/>
      <c r="C507" s="10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9"/>
      <c r="S507" s="11"/>
      <c r="T507" s="9"/>
      <c r="U507" s="11"/>
      <c r="V507" s="9"/>
      <c r="W507" s="11"/>
      <c r="X507" s="9"/>
      <c r="Y507" s="11"/>
      <c r="Z507" s="11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ht="12.75" customHeight="1">
      <c r="A508" s="9"/>
      <c r="B508" s="9"/>
      <c r="C508" s="10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9"/>
      <c r="S508" s="11"/>
      <c r="T508" s="9"/>
      <c r="U508" s="11"/>
      <c r="V508" s="9"/>
      <c r="W508" s="11"/>
      <c r="X508" s="9"/>
      <c r="Y508" s="11"/>
      <c r="Z508" s="11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ht="12.75" customHeight="1">
      <c r="A509" s="9"/>
      <c r="B509" s="9"/>
      <c r="C509" s="10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9"/>
      <c r="S509" s="11"/>
      <c r="T509" s="9"/>
      <c r="U509" s="11"/>
      <c r="V509" s="9"/>
      <c r="W509" s="11"/>
      <c r="X509" s="9"/>
      <c r="Y509" s="11"/>
      <c r="Z509" s="11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ht="12.75" customHeight="1">
      <c r="A510" s="9"/>
      <c r="B510" s="9"/>
      <c r="C510" s="10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9"/>
      <c r="S510" s="11"/>
      <c r="T510" s="9"/>
      <c r="U510" s="11"/>
      <c r="V510" s="9"/>
      <c r="W510" s="11"/>
      <c r="X510" s="9"/>
      <c r="Y510" s="11"/>
      <c r="Z510" s="11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ht="12.75" customHeight="1">
      <c r="A511" s="9"/>
      <c r="B511" s="9"/>
      <c r="C511" s="10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9"/>
      <c r="S511" s="11"/>
      <c r="T511" s="9"/>
      <c r="U511" s="11"/>
      <c r="V511" s="9"/>
      <c r="W511" s="11"/>
      <c r="X511" s="9"/>
      <c r="Y511" s="11"/>
      <c r="Z511" s="11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ht="12.75" customHeight="1">
      <c r="A512" s="9"/>
      <c r="B512" s="9"/>
      <c r="C512" s="10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9"/>
      <c r="S512" s="11"/>
      <c r="T512" s="9"/>
      <c r="U512" s="11"/>
      <c r="V512" s="9"/>
      <c r="W512" s="11"/>
      <c r="X512" s="9"/>
      <c r="Y512" s="11"/>
      <c r="Z512" s="11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ht="12.75" customHeight="1">
      <c r="A513" s="9"/>
      <c r="B513" s="9"/>
      <c r="C513" s="10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9"/>
      <c r="S513" s="11"/>
      <c r="T513" s="9"/>
      <c r="U513" s="11"/>
      <c r="V513" s="9"/>
      <c r="W513" s="11"/>
      <c r="X513" s="9"/>
      <c r="Y513" s="11"/>
      <c r="Z513" s="11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ht="12.75" customHeight="1">
      <c r="A514" s="9"/>
      <c r="B514" s="9"/>
      <c r="C514" s="10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9"/>
      <c r="S514" s="11"/>
      <c r="T514" s="9"/>
      <c r="U514" s="11"/>
      <c r="V514" s="9"/>
      <c r="W514" s="11"/>
      <c r="X514" s="9"/>
      <c r="Y514" s="11"/>
      <c r="Z514" s="11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ht="12.75" customHeight="1">
      <c r="A515" s="9"/>
      <c r="B515" s="9"/>
      <c r="C515" s="10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9"/>
      <c r="S515" s="11"/>
      <c r="T515" s="9"/>
      <c r="U515" s="11"/>
      <c r="V515" s="9"/>
      <c r="W515" s="11"/>
      <c r="X515" s="9"/>
      <c r="Y515" s="11"/>
      <c r="Z515" s="11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ht="12.75" customHeight="1">
      <c r="A516" s="9"/>
      <c r="B516" s="9"/>
      <c r="C516" s="10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9"/>
      <c r="S516" s="11"/>
      <c r="T516" s="9"/>
      <c r="U516" s="11"/>
      <c r="V516" s="9"/>
      <c r="W516" s="11"/>
      <c r="X516" s="9"/>
      <c r="Y516" s="11"/>
      <c r="Z516" s="11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ht="12.75" customHeight="1">
      <c r="A517" s="9"/>
      <c r="B517" s="9"/>
      <c r="C517" s="10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9"/>
      <c r="S517" s="11"/>
      <c r="T517" s="9"/>
      <c r="U517" s="11"/>
      <c r="V517" s="9"/>
      <c r="W517" s="11"/>
      <c r="X517" s="9"/>
      <c r="Y517" s="11"/>
      <c r="Z517" s="11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ht="12.75" customHeight="1">
      <c r="A518" s="9"/>
      <c r="B518" s="9"/>
      <c r="C518" s="10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9"/>
      <c r="S518" s="11"/>
      <c r="T518" s="9"/>
      <c r="U518" s="11"/>
      <c r="V518" s="9"/>
      <c r="W518" s="11"/>
      <c r="X518" s="9"/>
      <c r="Y518" s="11"/>
      <c r="Z518" s="11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ht="12.75" customHeight="1">
      <c r="A519" s="9"/>
      <c r="B519" s="9"/>
      <c r="C519" s="10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9"/>
      <c r="S519" s="11"/>
      <c r="T519" s="9"/>
      <c r="U519" s="11"/>
      <c r="V519" s="9"/>
      <c r="W519" s="11"/>
      <c r="X519" s="9"/>
      <c r="Y519" s="11"/>
      <c r="Z519" s="11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ht="12.75" customHeight="1">
      <c r="A520" s="9"/>
      <c r="B520" s="9"/>
      <c r="C520" s="10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9"/>
      <c r="S520" s="11"/>
      <c r="T520" s="9"/>
      <c r="U520" s="11"/>
      <c r="V520" s="9"/>
      <c r="W520" s="11"/>
      <c r="X520" s="9"/>
      <c r="Y520" s="11"/>
      <c r="Z520" s="11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ht="12.75" customHeight="1">
      <c r="A521" s="9"/>
      <c r="B521" s="9"/>
      <c r="C521" s="10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9"/>
      <c r="S521" s="11"/>
      <c r="T521" s="9"/>
      <c r="U521" s="11"/>
      <c r="V521" s="9"/>
      <c r="W521" s="11"/>
      <c r="X521" s="9"/>
      <c r="Y521" s="11"/>
      <c r="Z521" s="11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ht="12.75" customHeight="1">
      <c r="A522" s="9"/>
      <c r="B522" s="9"/>
      <c r="C522" s="10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9"/>
      <c r="S522" s="11"/>
      <c r="T522" s="9"/>
      <c r="U522" s="11"/>
      <c r="V522" s="9"/>
      <c r="W522" s="11"/>
      <c r="X522" s="9"/>
      <c r="Y522" s="11"/>
      <c r="Z522" s="11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ht="12.75" customHeight="1">
      <c r="A523" s="9"/>
      <c r="B523" s="9"/>
      <c r="C523" s="10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9"/>
      <c r="S523" s="11"/>
      <c r="T523" s="9"/>
      <c r="U523" s="11"/>
      <c r="V523" s="9"/>
      <c r="W523" s="11"/>
      <c r="X523" s="9"/>
      <c r="Y523" s="11"/>
      <c r="Z523" s="11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ht="12.75" customHeight="1">
      <c r="A524" s="9"/>
      <c r="B524" s="9"/>
      <c r="C524" s="10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9"/>
      <c r="S524" s="11"/>
      <c r="T524" s="9"/>
      <c r="U524" s="11"/>
      <c r="V524" s="9"/>
      <c r="W524" s="11"/>
      <c r="X524" s="9"/>
      <c r="Y524" s="11"/>
      <c r="Z524" s="11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ht="12.75" customHeight="1">
      <c r="A525" s="9"/>
      <c r="B525" s="9"/>
      <c r="C525" s="10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9"/>
      <c r="S525" s="11"/>
      <c r="T525" s="9"/>
      <c r="U525" s="11"/>
      <c r="V525" s="9"/>
      <c r="W525" s="11"/>
      <c r="X525" s="9"/>
      <c r="Y525" s="11"/>
      <c r="Z525" s="11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ht="12.75" customHeight="1">
      <c r="A526" s="9"/>
      <c r="B526" s="9"/>
      <c r="C526" s="10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9"/>
      <c r="S526" s="11"/>
      <c r="T526" s="9"/>
      <c r="U526" s="11"/>
      <c r="V526" s="9"/>
      <c r="W526" s="11"/>
      <c r="X526" s="9"/>
      <c r="Y526" s="11"/>
      <c r="Z526" s="11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ht="12.75" customHeight="1">
      <c r="A527" s="9"/>
      <c r="B527" s="9"/>
      <c r="C527" s="10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9"/>
      <c r="S527" s="11"/>
      <c r="T527" s="9"/>
      <c r="U527" s="11"/>
      <c r="V527" s="9"/>
      <c r="W527" s="11"/>
      <c r="X527" s="9"/>
      <c r="Y527" s="11"/>
      <c r="Z527" s="11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ht="12.75" customHeight="1">
      <c r="A528" s="9"/>
      <c r="B528" s="9"/>
      <c r="C528" s="10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9"/>
      <c r="S528" s="11"/>
      <c r="T528" s="9"/>
      <c r="U528" s="11"/>
      <c r="V528" s="9"/>
      <c r="W528" s="11"/>
      <c r="X528" s="9"/>
      <c r="Y528" s="11"/>
      <c r="Z528" s="11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ht="12.75" customHeight="1">
      <c r="A529" s="9"/>
      <c r="B529" s="9"/>
      <c r="C529" s="10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9"/>
      <c r="S529" s="11"/>
      <c r="T529" s="9"/>
      <c r="U529" s="11"/>
      <c r="V529" s="9"/>
      <c r="W529" s="11"/>
      <c r="X529" s="9"/>
      <c r="Y529" s="11"/>
      <c r="Z529" s="11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ht="12.75" customHeight="1">
      <c r="A530" s="9"/>
      <c r="B530" s="9"/>
      <c r="C530" s="10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9"/>
      <c r="S530" s="11"/>
      <c r="T530" s="9"/>
      <c r="U530" s="11"/>
      <c r="V530" s="9"/>
      <c r="W530" s="11"/>
      <c r="X530" s="9"/>
      <c r="Y530" s="11"/>
      <c r="Z530" s="11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ht="12.75" customHeight="1">
      <c r="A531" s="9"/>
      <c r="B531" s="9"/>
      <c r="C531" s="10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9"/>
      <c r="S531" s="11"/>
      <c r="T531" s="9"/>
      <c r="U531" s="11"/>
      <c r="V531" s="9"/>
      <c r="W531" s="11"/>
      <c r="X531" s="9"/>
      <c r="Y531" s="11"/>
      <c r="Z531" s="11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ht="12.75" customHeight="1">
      <c r="A532" s="9"/>
      <c r="B532" s="9"/>
      <c r="C532" s="10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9"/>
      <c r="S532" s="11"/>
      <c r="T532" s="9"/>
      <c r="U532" s="11"/>
      <c r="V532" s="9"/>
      <c r="W532" s="11"/>
      <c r="X532" s="9"/>
      <c r="Y532" s="11"/>
      <c r="Z532" s="11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ht="12.75" customHeight="1">
      <c r="A533" s="9"/>
      <c r="B533" s="9"/>
      <c r="C533" s="10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9"/>
      <c r="S533" s="11"/>
      <c r="T533" s="9"/>
      <c r="U533" s="11"/>
      <c r="V533" s="9"/>
      <c r="W533" s="11"/>
      <c r="X533" s="9"/>
      <c r="Y533" s="11"/>
      <c r="Z533" s="11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ht="12.75" customHeight="1">
      <c r="A534" s="9"/>
      <c r="B534" s="9"/>
      <c r="C534" s="10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9"/>
      <c r="S534" s="11"/>
      <c r="T534" s="9"/>
      <c r="U534" s="11"/>
      <c r="V534" s="9"/>
      <c r="W534" s="11"/>
      <c r="X534" s="9"/>
      <c r="Y534" s="11"/>
      <c r="Z534" s="11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ht="12.75" customHeight="1">
      <c r="A535" s="9"/>
      <c r="B535" s="9"/>
      <c r="C535" s="10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9"/>
      <c r="S535" s="11"/>
      <c r="T535" s="9"/>
      <c r="U535" s="11"/>
      <c r="V535" s="9"/>
      <c r="W535" s="11"/>
      <c r="X535" s="9"/>
      <c r="Y535" s="11"/>
      <c r="Z535" s="11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ht="12.75" customHeight="1">
      <c r="A536" s="9"/>
      <c r="B536" s="9"/>
      <c r="C536" s="10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9"/>
      <c r="S536" s="11"/>
      <c r="T536" s="9"/>
      <c r="U536" s="11"/>
      <c r="V536" s="9"/>
      <c r="W536" s="11"/>
      <c r="X536" s="9"/>
      <c r="Y536" s="11"/>
      <c r="Z536" s="11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ht="12.75" customHeight="1">
      <c r="A537" s="9"/>
      <c r="B537" s="9"/>
      <c r="C537" s="10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9"/>
      <c r="S537" s="11"/>
      <c r="T537" s="9"/>
      <c r="U537" s="11"/>
      <c r="V537" s="9"/>
      <c r="W537" s="11"/>
      <c r="X537" s="9"/>
      <c r="Y537" s="11"/>
      <c r="Z537" s="11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ht="12.75" customHeight="1">
      <c r="A538" s="9"/>
      <c r="B538" s="9"/>
      <c r="C538" s="10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9"/>
      <c r="S538" s="11"/>
      <c r="T538" s="9"/>
      <c r="U538" s="11"/>
      <c r="V538" s="9"/>
      <c r="W538" s="11"/>
      <c r="X538" s="9"/>
      <c r="Y538" s="11"/>
      <c r="Z538" s="11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ht="12.75" customHeight="1">
      <c r="A539" s="9"/>
      <c r="B539" s="9"/>
      <c r="C539" s="10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9"/>
      <c r="S539" s="11"/>
      <c r="T539" s="9"/>
      <c r="U539" s="11"/>
      <c r="V539" s="9"/>
      <c r="W539" s="11"/>
      <c r="X539" s="9"/>
      <c r="Y539" s="11"/>
      <c r="Z539" s="11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ht="12.75" customHeight="1">
      <c r="A540" s="9"/>
      <c r="B540" s="9"/>
      <c r="C540" s="10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9"/>
      <c r="S540" s="11"/>
      <c r="T540" s="9"/>
      <c r="U540" s="11"/>
      <c r="V540" s="9"/>
      <c r="W540" s="11"/>
      <c r="X540" s="9"/>
      <c r="Y540" s="11"/>
      <c r="Z540" s="11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ht="12.75" customHeight="1">
      <c r="A541" s="9"/>
      <c r="B541" s="9"/>
      <c r="C541" s="10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9"/>
      <c r="S541" s="11"/>
      <c r="T541" s="9"/>
      <c r="U541" s="11"/>
      <c r="V541" s="9"/>
      <c r="W541" s="11"/>
      <c r="X541" s="9"/>
      <c r="Y541" s="11"/>
      <c r="Z541" s="11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ht="12.75" customHeight="1">
      <c r="A542" s="9"/>
      <c r="B542" s="9"/>
      <c r="C542" s="10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9"/>
      <c r="S542" s="11"/>
      <c r="T542" s="9"/>
      <c r="U542" s="11"/>
      <c r="V542" s="9"/>
      <c r="W542" s="11"/>
      <c r="X542" s="9"/>
      <c r="Y542" s="11"/>
      <c r="Z542" s="11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ht="12.75" customHeight="1">
      <c r="A543" s="9"/>
      <c r="B543" s="9"/>
      <c r="C543" s="10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9"/>
      <c r="S543" s="11"/>
      <c r="T543" s="9"/>
      <c r="U543" s="11"/>
      <c r="V543" s="9"/>
      <c r="W543" s="11"/>
      <c r="X543" s="9"/>
      <c r="Y543" s="11"/>
      <c r="Z543" s="11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ht="12.75" customHeight="1">
      <c r="A544" s="9"/>
      <c r="B544" s="9"/>
      <c r="C544" s="10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9"/>
      <c r="S544" s="11"/>
      <c r="T544" s="9"/>
      <c r="U544" s="11"/>
      <c r="V544" s="9"/>
      <c r="W544" s="11"/>
      <c r="X544" s="9"/>
      <c r="Y544" s="11"/>
      <c r="Z544" s="11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ht="12.75" customHeight="1">
      <c r="A545" s="9"/>
      <c r="B545" s="9"/>
      <c r="C545" s="10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9"/>
      <c r="S545" s="11"/>
      <c r="T545" s="9"/>
      <c r="U545" s="11"/>
      <c r="V545" s="9"/>
      <c r="W545" s="11"/>
      <c r="X545" s="9"/>
      <c r="Y545" s="11"/>
      <c r="Z545" s="11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ht="12.75" customHeight="1">
      <c r="A546" s="9"/>
      <c r="B546" s="9"/>
      <c r="C546" s="10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9"/>
      <c r="S546" s="11"/>
      <c r="T546" s="9"/>
      <c r="U546" s="11"/>
      <c r="V546" s="9"/>
      <c r="W546" s="11"/>
      <c r="X546" s="9"/>
      <c r="Y546" s="11"/>
      <c r="Z546" s="11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ht="12.75" customHeight="1">
      <c r="A547" s="9"/>
      <c r="B547" s="9"/>
      <c r="C547" s="10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9"/>
      <c r="S547" s="11"/>
      <c r="T547" s="9"/>
      <c r="U547" s="11"/>
      <c r="V547" s="9"/>
      <c r="W547" s="11"/>
      <c r="X547" s="9"/>
      <c r="Y547" s="11"/>
      <c r="Z547" s="11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ht="12.75" customHeight="1">
      <c r="A548" s="9"/>
      <c r="B548" s="9"/>
      <c r="C548" s="10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9"/>
      <c r="S548" s="11"/>
      <c r="T548" s="9"/>
      <c r="U548" s="11"/>
      <c r="V548" s="9"/>
      <c r="W548" s="11"/>
      <c r="X548" s="9"/>
      <c r="Y548" s="11"/>
      <c r="Z548" s="11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ht="12.75" customHeight="1">
      <c r="A549" s="9"/>
      <c r="B549" s="9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9"/>
      <c r="S549" s="11"/>
      <c r="T549" s="9"/>
      <c r="U549" s="11"/>
      <c r="V549" s="9"/>
      <c r="W549" s="11"/>
      <c r="X549" s="9"/>
      <c r="Y549" s="11"/>
      <c r="Z549" s="11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ht="12.75" customHeight="1">
      <c r="A550" s="9"/>
      <c r="B550" s="9"/>
      <c r="C550" s="10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9"/>
      <c r="S550" s="11"/>
      <c r="T550" s="9"/>
      <c r="U550" s="11"/>
      <c r="V550" s="9"/>
      <c r="W550" s="11"/>
      <c r="X550" s="9"/>
      <c r="Y550" s="11"/>
      <c r="Z550" s="11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ht="12.75" customHeight="1">
      <c r="A551" s="9"/>
      <c r="B551" s="9"/>
      <c r="C551" s="10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9"/>
      <c r="S551" s="11"/>
      <c r="T551" s="9"/>
      <c r="U551" s="11"/>
      <c r="V551" s="9"/>
      <c r="W551" s="11"/>
      <c r="X551" s="9"/>
      <c r="Y551" s="11"/>
      <c r="Z551" s="11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ht="12.75" customHeight="1">
      <c r="A552" s="9"/>
      <c r="B552" s="9"/>
      <c r="C552" s="10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9"/>
      <c r="S552" s="11"/>
      <c r="T552" s="9"/>
      <c r="U552" s="11"/>
      <c r="V552" s="9"/>
      <c r="W552" s="11"/>
      <c r="X552" s="9"/>
      <c r="Y552" s="11"/>
      <c r="Z552" s="11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ht="12.75" customHeight="1">
      <c r="A553" s="9"/>
      <c r="B553" s="9"/>
      <c r="C553" s="10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9"/>
      <c r="S553" s="11"/>
      <c r="T553" s="9"/>
      <c r="U553" s="11"/>
      <c r="V553" s="9"/>
      <c r="W553" s="11"/>
      <c r="X553" s="9"/>
      <c r="Y553" s="11"/>
      <c r="Z553" s="11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ht="12.75" customHeight="1">
      <c r="A554" s="9"/>
      <c r="B554" s="9"/>
      <c r="C554" s="10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9"/>
      <c r="S554" s="11"/>
      <c r="T554" s="9"/>
      <c r="U554" s="11"/>
      <c r="V554" s="9"/>
      <c r="W554" s="11"/>
      <c r="X554" s="9"/>
      <c r="Y554" s="11"/>
      <c r="Z554" s="11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ht="12.75" customHeight="1">
      <c r="A555" s="9"/>
      <c r="B555" s="9"/>
      <c r="C555" s="10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9"/>
      <c r="S555" s="11"/>
      <c r="T555" s="9"/>
      <c r="U555" s="11"/>
      <c r="V555" s="9"/>
      <c r="W555" s="11"/>
      <c r="X555" s="9"/>
      <c r="Y555" s="11"/>
      <c r="Z555" s="11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ht="12.75" customHeight="1">
      <c r="A556" s="9"/>
      <c r="B556" s="9"/>
      <c r="C556" s="10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9"/>
      <c r="S556" s="11"/>
      <c r="T556" s="9"/>
      <c r="U556" s="11"/>
      <c r="V556" s="9"/>
      <c r="W556" s="11"/>
      <c r="X556" s="9"/>
      <c r="Y556" s="11"/>
      <c r="Z556" s="11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ht="12.75" customHeight="1">
      <c r="A557" s="9"/>
      <c r="B557" s="9"/>
      <c r="C557" s="10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9"/>
      <c r="S557" s="11"/>
      <c r="T557" s="9"/>
      <c r="U557" s="11"/>
      <c r="V557" s="9"/>
      <c r="W557" s="11"/>
      <c r="X557" s="9"/>
      <c r="Y557" s="11"/>
      <c r="Z557" s="11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ht="12.75" customHeight="1">
      <c r="A558" s="9"/>
      <c r="B558" s="9"/>
      <c r="C558" s="10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9"/>
      <c r="S558" s="11"/>
      <c r="T558" s="9"/>
      <c r="U558" s="11"/>
      <c r="V558" s="9"/>
      <c r="W558" s="11"/>
      <c r="X558" s="9"/>
      <c r="Y558" s="11"/>
      <c r="Z558" s="11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ht="12.75" customHeight="1">
      <c r="A559" s="9"/>
      <c r="B559" s="9"/>
      <c r="C559" s="10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9"/>
      <c r="S559" s="11"/>
      <c r="T559" s="9"/>
      <c r="U559" s="11"/>
      <c r="V559" s="9"/>
      <c r="W559" s="11"/>
      <c r="X559" s="9"/>
      <c r="Y559" s="11"/>
      <c r="Z559" s="11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ht="12.75" customHeight="1">
      <c r="A560" s="9"/>
      <c r="B560" s="9"/>
      <c r="C560" s="10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9"/>
      <c r="S560" s="11"/>
      <c r="T560" s="9"/>
      <c r="U560" s="11"/>
      <c r="V560" s="9"/>
      <c r="W560" s="11"/>
      <c r="X560" s="9"/>
      <c r="Y560" s="11"/>
      <c r="Z560" s="11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ht="12.75" customHeight="1">
      <c r="A561" s="9"/>
      <c r="B561" s="9"/>
      <c r="C561" s="10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9"/>
      <c r="S561" s="11"/>
      <c r="T561" s="9"/>
      <c r="U561" s="11"/>
      <c r="V561" s="9"/>
      <c r="W561" s="11"/>
      <c r="X561" s="9"/>
      <c r="Y561" s="11"/>
      <c r="Z561" s="11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ht="12.75" customHeight="1">
      <c r="A562" s="9"/>
      <c r="B562" s="9"/>
      <c r="C562" s="10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9"/>
      <c r="S562" s="11"/>
      <c r="T562" s="9"/>
      <c r="U562" s="11"/>
      <c r="V562" s="9"/>
      <c r="W562" s="11"/>
      <c r="X562" s="9"/>
      <c r="Y562" s="11"/>
      <c r="Z562" s="11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ht="12.75" customHeight="1">
      <c r="A563" s="9"/>
      <c r="B563" s="9"/>
      <c r="C563" s="10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9"/>
      <c r="S563" s="11"/>
      <c r="T563" s="9"/>
      <c r="U563" s="11"/>
      <c r="V563" s="9"/>
      <c r="W563" s="11"/>
      <c r="X563" s="9"/>
      <c r="Y563" s="11"/>
      <c r="Z563" s="11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ht="12.75" customHeight="1">
      <c r="A564" s="9"/>
      <c r="B564" s="9"/>
      <c r="C564" s="10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9"/>
      <c r="S564" s="11"/>
      <c r="T564" s="9"/>
      <c r="U564" s="11"/>
      <c r="V564" s="9"/>
      <c r="W564" s="11"/>
      <c r="X564" s="9"/>
      <c r="Y564" s="11"/>
      <c r="Z564" s="11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ht="12.75" customHeight="1">
      <c r="A565" s="9"/>
      <c r="B565" s="9"/>
      <c r="C565" s="10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9"/>
      <c r="S565" s="11"/>
      <c r="T565" s="9"/>
      <c r="U565" s="11"/>
      <c r="V565" s="9"/>
      <c r="W565" s="11"/>
      <c r="X565" s="9"/>
      <c r="Y565" s="11"/>
      <c r="Z565" s="11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ht="12.75" customHeight="1">
      <c r="A566" s="9"/>
      <c r="B566" s="9"/>
      <c r="C566" s="10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9"/>
      <c r="S566" s="11"/>
      <c r="T566" s="9"/>
      <c r="U566" s="11"/>
      <c r="V566" s="9"/>
      <c r="W566" s="11"/>
      <c r="X566" s="9"/>
      <c r="Y566" s="11"/>
      <c r="Z566" s="11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ht="12.75" customHeight="1">
      <c r="A567" s="9"/>
      <c r="B567" s="9"/>
      <c r="C567" s="10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9"/>
      <c r="S567" s="11"/>
      <c r="T567" s="9"/>
      <c r="U567" s="11"/>
      <c r="V567" s="9"/>
      <c r="W567" s="11"/>
      <c r="X567" s="9"/>
      <c r="Y567" s="11"/>
      <c r="Z567" s="11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ht="12.75" customHeight="1">
      <c r="A568" s="9"/>
      <c r="B568" s="9"/>
      <c r="C568" s="10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9"/>
      <c r="S568" s="11"/>
      <c r="T568" s="9"/>
      <c r="U568" s="11"/>
      <c r="V568" s="9"/>
      <c r="W568" s="11"/>
      <c r="X568" s="9"/>
      <c r="Y568" s="11"/>
      <c r="Z568" s="11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ht="12.75" customHeight="1">
      <c r="A569" s="9"/>
      <c r="B569" s="9"/>
      <c r="C569" s="10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9"/>
      <c r="S569" s="11"/>
      <c r="T569" s="9"/>
      <c r="U569" s="11"/>
      <c r="V569" s="9"/>
      <c r="W569" s="11"/>
      <c r="X569" s="9"/>
      <c r="Y569" s="11"/>
      <c r="Z569" s="11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ht="12.75" customHeight="1">
      <c r="A570" s="9"/>
      <c r="B570" s="9"/>
      <c r="C570" s="10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9"/>
      <c r="S570" s="11"/>
      <c r="T570" s="9"/>
      <c r="U570" s="11"/>
      <c r="V570" s="9"/>
      <c r="W570" s="11"/>
      <c r="X570" s="9"/>
      <c r="Y570" s="11"/>
      <c r="Z570" s="11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ht="12.75" customHeight="1">
      <c r="A571" s="9"/>
      <c r="B571" s="9"/>
      <c r="C571" s="10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9"/>
      <c r="S571" s="11"/>
      <c r="T571" s="9"/>
      <c r="U571" s="11"/>
      <c r="V571" s="9"/>
      <c r="W571" s="11"/>
      <c r="X571" s="9"/>
      <c r="Y571" s="11"/>
      <c r="Z571" s="11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ht="12.75" customHeight="1">
      <c r="A572" s="9"/>
      <c r="B572" s="9"/>
      <c r="C572" s="10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9"/>
      <c r="S572" s="11"/>
      <c r="T572" s="9"/>
      <c r="U572" s="11"/>
      <c r="V572" s="9"/>
      <c r="W572" s="11"/>
      <c r="X572" s="9"/>
      <c r="Y572" s="11"/>
      <c r="Z572" s="11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ht="12.75" customHeight="1">
      <c r="A573" s="9"/>
      <c r="B573" s="9"/>
      <c r="C573" s="10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9"/>
      <c r="S573" s="11"/>
      <c r="T573" s="9"/>
      <c r="U573" s="11"/>
      <c r="V573" s="9"/>
      <c r="W573" s="11"/>
      <c r="X573" s="9"/>
      <c r="Y573" s="11"/>
      <c r="Z573" s="11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ht="12.75" customHeight="1">
      <c r="A574" s="9"/>
      <c r="B574" s="9"/>
      <c r="C574" s="10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9"/>
      <c r="S574" s="11"/>
      <c r="T574" s="9"/>
      <c r="U574" s="11"/>
      <c r="V574" s="9"/>
      <c r="W574" s="11"/>
      <c r="X574" s="9"/>
      <c r="Y574" s="11"/>
      <c r="Z574" s="11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ht="12.75" customHeight="1">
      <c r="A575" s="9"/>
      <c r="B575" s="9"/>
      <c r="C575" s="10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9"/>
      <c r="S575" s="11"/>
      <c r="T575" s="9"/>
      <c r="U575" s="11"/>
      <c r="V575" s="9"/>
      <c r="W575" s="11"/>
      <c r="X575" s="9"/>
      <c r="Y575" s="11"/>
      <c r="Z575" s="11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ht="12.75" customHeight="1">
      <c r="A576" s="9"/>
      <c r="B576" s="9"/>
      <c r="C576" s="10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9"/>
      <c r="S576" s="11"/>
      <c r="T576" s="9"/>
      <c r="U576" s="11"/>
      <c r="V576" s="9"/>
      <c r="W576" s="11"/>
      <c r="X576" s="9"/>
      <c r="Y576" s="11"/>
      <c r="Z576" s="11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ht="12.75" customHeight="1">
      <c r="A577" s="9"/>
      <c r="B577" s="9"/>
      <c r="C577" s="10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9"/>
      <c r="S577" s="11"/>
      <c r="T577" s="9"/>
      <c r="U577" s="11"/>
      <c r="V577" s="9"/>
      <c r="W577" s="11"/>
      <c r="X577" s="9"/>
      <c r="Y577" s="11"/>
      <c r="Z577" s="11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ht="12.75" customHeight="1">
      <c r="A578" s="9"/>
      <c r="B578" s="9"/>
      <c r="C578" s="10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9"/>
      <c r="S578" s="11"/>
      <c r="T578" s="9"/>
      <c r="U578" s="11"/>
      <c r="V578" s="9"/>
      <c r="W578" s="11"/>
      <c r="X578" s="9"/>
      <c r="Y578" s="11"/>
      <c r="Z578" s="11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ht="12.75" customHeight="1">
      <c r="A579" s="9"/>
      <c r="B579" s="9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9"/>
      <c r="S579" s="11"/>
      <c r="T579" s="9"/>
      <c r="U579" s="11"/>
      <c r="V579" s="9"/>
      <c r="W579" s="11"/>
      <c r="X579" s="9"/>
      <c r="Y579" s="11"/>
      <c r="Z579" s="11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ht="12.75" customHeight="1">
      <c r="A580" s="9"/>
      <c r="B580" s="9"/>
      <c r="C580" s="10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9"/>
      <c r="S580" s="11"/>
      <c r="T580" s="9"/>
      <c r="U580" s="11"/>
      <c r="V580" s="9"/>
      <c r="W580" s="11"/>
      <c r="X580" s="9"/>
      <c r="Y580" s="11"/>
      <c r="Z580" s="11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ht="12.75" customHeight="1">
      <c r="A581" s="9"/>
      <c r="B581" s="9"/>
      <c r="C581" s="10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9"/>
      <c r="S581" s="11"/>
      <c r="T581" s="9"/>
      <c r="U581" s="11"/>
      <c r="V581" s="9"/>
      <c r="W581" s="11"/>
      <c r="X581" s="9"/>
      <c r="Y581" s="11"/>
      <c r="Z581" s="11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ht="12.75" customHeight="1">
      <c r="A582" s="9"/>
      <c r="B582" s="9"/>
      <c r="C582" s="10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9"/>
      <c r="S582" s="11"/>
      <c r="T582" s="9"/>
      <c r="U582" s="11"/>
      <c r="V582" s="9"/>
      <c r="W582" s="11"/>
      <c r="X582" s="9"/>
      <c r="Y582" s="11"/>
      <c r="Z582" s="11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ht="12.75" customHeight="1">
      <c r="A583" s="9"/>
      <c r="B583" s="9"/>
      <c r="C583" s="10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9"/>
      <c r="S583" s="11"/>
      <c r="T583" s="9"/>
      <c r="U583" s="11"/>
      <c r="V583" s="9"/>
      <c r="W583" s="11"/>
      <c r="X583" s="9"/>
      <c r="Y583" s="11"/>
      <c r="Z583" s="11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ht="12.75" customHeight="1">
      <c r="A584" s="9"/>
      <c r="B584" s="9"/>
      <c r="C584" s="10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9"/>
      <c r="S584" s="11"/>
      <c r="T584" s="9"/>
      <c r="U584" s="11"/>
      <c r="V584" s="9"/>
      <c r="W584" s="11"/>
      <c r="X584" s="9"/>
      <c r="Y584" s="11"/>
      <c r="Z584" s="11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ht="12.75" customHeight="1">
      <c r="A585" s="9"/>
      <c r="B585" s="9"/>
      <c r="C585" s="10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9"/>
      <c r="S585" s="11"/>
      <c r="T585" s="9"/>
      <c r="U585" s="11"/>
      <c r="V585" s="9"/>
      <c r="W585" s="11"/>
      <c r="X585" s="9"/>
      <c r="Y585" s="11"/>
      <c r="Z585" s="11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ht="12.75" customHeight="1">
      <c r="A586" s="9"/>
      <c r="B586" s="9"/>
      <c r="C586" s="10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9"/>
      <c r="S586" s="11"/>
      <c r="T586" s="9"/>
      <c r="U586" s="11"/>
      <c r="V586" s="9"/>
      <c r="W586" s="11"/>
      <c r="X586" s="9"/>
      <c r="Y586" s="11"/>
      <c r="Z586" s="11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ht="12.75" customHeight="1">
      <c r="A587" s="9"/>
      <c r="B587" s="9"/>
      <c r="C587" s="10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9"/>
      <c r="S587" s="11"/>
      <c r="T587" s="9"/>
      <c r="U587" s="11"/>
      <c r="V587" s="9"/>
      <c r="W587" s="11"/>
      <c r="X587" s="9"/>
      <c r="Y587" s="11"/>
      <c r="Z587" s="11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ht="12.75" customHeight="1">
      <c r="A588" s="9"/>
      <c r="B588" s="9"/>
      <c r="C588" s="10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9"/>
      <c r="S588" s="11"/>
      <c r="T588" s="9"/>
      <c r="U588" s="11"/>
      <c r="V588" s="9"/>
      <c r="W588" s="11"/>
      <c r="X588" s="9"/>
      <c r="Y588" s="11"/>
      <c r="Z588" s="11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ht="12.75" customHeight="1">
      <c r="A589" s="9"/>
      <c r="B589" s="9"/>
      <c r="C589" s="10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9"/>
      <c r="S589" s="11"/>
      <c r="T589" s="9"/>
      <c r="U589" s="11"/>
      <c r="V589" s="9"/>
      <c r="W589" s="11"/>
      <c r="X589" s="9"/>
      <c r="Y589" s="11"/>
      <c r="Z589" s="11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ht="12.75" customHeight="1">
      <c r="A590" s="9"/>
      <c r="B590" s="9"/>
      <c r="C590" s="10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9"/>
      <c r="S590" s="11"/>
      <c r="T590" s="9"/>
      <c r="U590" s="11"/>
      <c r="V590" s="9"/>
      <c r="W590" s="11"/>
      <c r="X590" s="9"/>
      <c r="Y590" s="11"/>
      <c r="Z590" s="11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ht="12.75" customHeight="1">
      <c r="A591" s="9"/>
      <c r="B591" s="9"/>
      <c r="C591" s="10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9"/>
      <c r="S591" s="11"/>
      <c r="T591" s="9"/>
      <c r="U591" s="11"/>
      <c r="V591" s="9"/>
      <c r="W591" s="11"/>
      <c r="X591" s="9"/>
      <c r="Y591" s="11"/>
      <c r="Z591" s="11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ht="12.75" customHeight="1">
      <c r="A592" s="9"/>
      <c r="B592" s="9"/>
      <c r="C592" s="10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9"/>
      <c r="S592" s="11"/>
      <c r="T592" s="9"/>
      <c r="U592" s="11"/>
      <c r="V592" s="9"/>
      <c r="W592" s="11"/>
      <c r="X592" s="9"/>
      <c r="Y592" s="11"/>
      <c r="Z592" s="11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ht="12.75" customHeight="1">
      <c r="A593" s="9"/>
      <c r="B593" s="9"/>
      <c r="C593" s="10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9"/>
      <c r="S593" s="11"/>
      <c r="T593" s="9"/>
      <c r="U593" s="11"/>
      <c r="V593" s="9"/>
      <c r="W593" s="11"/>
      <c r="X593" s="9"/>
      <c r="Y593" s="11"/>
      <c r="Z593" s="11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ht="12.75" customHeight="1">
      <c r="A594" s="9"/>
      <c r="B594" s="9"/>
      <c r="C594" s="10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9"/>
      <c r="S594" s="11"/>
      <c r="T594" s="9"/>
      <c r="U594" s="11"/>
      <c r="V594" s="9"/>
      <c r="W594" s="11"/>
      <c r="X594" s="9"/>
      <c r="Y594" s="11"/>
      <c r="Z594" s="11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ht="12.75" customHeight="1">
      <c r="A595" s="9"/>
      <c r="B595" s="9"/>
      <c r="C595" s="10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9"/>
      <c r="S595" s="11"/>
      <c r="T595" s="9"/>
      <c r="U595" s="11"/>
      <c r="V595" s="9"/>
      <c r="W595" s="11"/>
      <c r="X595" s="9"/>
      <c r="Y595" s="11"/>
      <c r="Z595" s="11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ht="12.75" customHeight="1">
      <c r="A596" s="9"/>
      <c r="B596" s="9"/>
      <c r="C596" s="10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9"/>
      <c r="S596" s="11"/>
      <c r="T596" s="9"/>
      <c r="U596" s="11"/>
      <c r="V596" s="9"/>
      <c r="W596" s="11"/>
      <c r="X596" s="9"/>
      <c r="Y596" s="11"/>
      <c r="Z596" s="11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ht="12.75" customHeight="1">
      <c r="A597" s="9"/>
      <c r="B597" s="9"/>
      <c r="C597" s="10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9"/>
      <c r="S597" s="11"/>
      <c r="T597" s="9"/>
      <c r="U597" s="11"/>
      <c r="V597" s="9"/>
      <c r="W597" s="11"/>
      <c r="X597" s="9"/>
      <c r="Y597" s="11"/>
      <c r="Z597" s="11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ht="12.75" customHeight="1">
      <c r="A598" s="9"/>
      <c r="B598" s="9"/>
      <c r="C598" s="10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9"/>
      <c r="S598" s="11"/>
      <c r="T598" s="9"/>
      <c r="U598" s="11"/>
      <c r="V598" s="9"/>
      <c r="W598" s="11"/>
      <c r="X598" s="9"/>
      <c r="Y598" s="11"/>
      <c r="Z598" s="11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ht="12.75" customHeight="1">
      <c r="A599" s="9"/>
      <c r="B599" s="9"/>
      <c r="C599" s="10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9"/>
      <c r="S599" s="11"/>
      <c r="T599" s="9"/>
      <c r="U599" s="11"/>
      <c r="V599" s="9"/>
      <c r="W599" s="11"/>
      <c r="X599" s="9"/>
      <c r="Y599" s="11"/>
      <c r="Z599" s="11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ht="12.75" customHeight="1">
      <c r="A600" s="9"/>
      <c r="B600" s="9"/>
      <c r="C600" s="10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9"/>
      <c r="S600" s="11"/>
      <c r="T600" s="9"/>
      <c r="U600" s="11"/>
      <c r="V600" s="9"/>
      <c r="W600" s="11"/>
      <c r="X600" s="9"/>
      <c r="Y600" s="11"/>
      <c r="Z600" s="11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ht="12.75" customHeight="1">
      <c r="A601" s="9"/>
      <c r="B601" s="9"/>
      <c r="C601" s="10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9"/>
      <c r="S601" s="11"/>
      <c r="T601" s="9"/>
      <c r="U601" s="11"/>
      <c r="V601" s="9"/>
      <c r="W601" s="11"/>
      <c r="X601" s="9"/>
      <c r="Y601" s="11"/>
      <c r="Z601" s="11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ht="12.75" customHeight="1">
      <c r="A602" s="9"/>
      <c r="B602" s="9"/>
      <c r="C602" s="10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9"/>
      <c r="S602" s="11"/>
      <c r="T602" s="9"/>
      <c r="U602" s="11"/>
      <c r="V602" s="9"/>
      <c r="W602" s="11"/>
      <c r="X602" s="9"/>
      <c r="Y602" s="11"/>
      <c r="Z602" s="11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ht="12.75" customHeight="1">
      <c r="A603" s="9"/>
      <c r="B603" s="9"/>
      <c r="C603" s="10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9"/>
      <c r="S603" s="11"/>
      <c r="T603" s="9"/>
      <c r="U603" s="11"/>
      <c r="V603" s="9"/>
      <c r="W603" s="11"/>
      <c r="X603" s="9"/>
      <c r="Y603" s="11"/>
      <c r="Z603" s="11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ht="12.75" customHeight="1">
      <c r="A604" s="9"/>
      <c r="B604" s="9"/>
      <c r="C604" s="10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9"/>
      <c r="S604" s="11"/>
      <c r="T604" s="9"/>
      <c r="U604" s="11"/>
      <c r="V604" s="9"/>
      <c r="W604" s="11"/>
      <c r="X604" s="9"/>
      <c r="Y604" s="11"/>
      <c r="Z604" s="11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ht="12.75" customHeight="1">
      <c r="A605" s="9"/>
      <c r="B605" s="9"/>
      <c r="C605" s="10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9"/>
      <c r="S605" s="11"/>
      <c r="T605" s="9"/>
      <c r="U605" s="11"/>
      <c r="V605" s="9"/>
      <c r="W605" s="11"/>
      <c r="X605" s="9"/>
      <c r="Y605" s="11"/>
      <c r="Z605" s="11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ht="12.75" customHeight="1">
      <c r="A606" s="9"/>
      <c r="B606" s="9"/>
      <c r="C606" s="10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9"/>
      <c r="S606" s="11"/>
      <c r="T606" s="9"/>
      <c r="U606" s="11"/>
      <c r="V606" s="9"/>
      <c r="W606" s="11"/>
      <c r="X606" s="9"/>
      <c r="Y606" s="11"/>
      <c r="Z606" s="11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ht="12.75" customHeight="1">
      <c r="A607" s="9"/>
      <c r="B607" s="9"/>
      <c r="C607" s="10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9"/>
      <c r="S607" s="11"/>
      <c r="T607" s="9"/>
      <c r="U607" s="11"/>
      <c r="V607" s="9"/>
      <c r="W607" s="11"/>
      <c r="X607" s="9"/>
      <c r="Y607" s="11"/>
      <c r="Z607" s="11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ht="12.75" customHeight="1">
      <c r="A608" s="9"/>
      <c r="B608" s="9"/>
      <c r="C608" s="10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9"/>
      <c r="S608" s="11"/>
      <c r="T608" s="9"/>
      <c r="U608" s="11"/>
      <c r="V608" s="9"/>
      <c r="W608" s="11"/>
      <c r="X608" s="9"/>
      <c r="Y608" s="11"/>
      <c r="Z608" s="11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ht="12.75" customHeight="1">
      <c r="A609" s="9"/>
      <c r="B609" s="9"/>
      <c r="C609" s="10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9"/>
      <c r="S609" s="11"/>
      <c r="T609" s="9"/>
      <c r="U609" s="11"/>
      <c r="V609" s="9"/>
      <c r="W609" s="11"/>
      <c r="X609" s="9"/>
      <c r="Y609" s="11"/>
      <c r="Z609" s="11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ht="12.75" customHeight="1">
      <c r="A610" s="9"/>
      <c r="B610" s="9"/>
      <c r="C610" s="10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9"/>
      <c r="S610" s="11"/>
      <c r="T610" s="9"/>
      <c r="U610" s="11"/>
      <c r="V610" s="9"/>
      <c r="W610" s="11"/>
      <c r="X610" s="9"/>
      <c r="Y610" s="11"/>
      <c r="Z610" s="11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ht="12.75" customHeight="1">
      <c r="A611" s="9"/>
      <c r="B611" s="9"/>
      <c r="C611" s="10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9"/>
      <c r="S611" s="11"/>
      <c r="T611" s="9"/>
      <c r="U611" s="11"/>
      <c r="V611" s="9"/>
      <c r="W611" s="11"/>
      <c r="X611" s="9"/>
      <c r="Y611" s="11"/>
      <c r="Z611" s="11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ht="12.75" customHeight="1">
      <c r="A612" s="9"/>
      <c r="B612" s="9"/>
      <c r="C612" s="10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9"/>
      <c r="S612" s="11"/>
      <c r="T612" s="9"/>
      <c r="U612" s="11"/>
      <c r="V612" s="9"/>
      <c r="W612" s="11"/>
      <c r="X612" s="9"/>
      <c r="Y612" s="11"/>
      <c r="Z612" s="11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ht="12.75" customHeight="1">
      <c r="A613" s="9"/>
      <c r="B613" s="9"/>
      <c r="C613" s="10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9"/>
      <c r="S613" s="11"/>
      <c r="T613" s="9"/>
      <c r="U613" s="11"/>
      <c r="V613" s="9"/>
      <c r="W613" s="11"/>
      <c r="X613" s="9"/>
      <c r="Y613" s="11"/>
      <c r="Z613" s="11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ht="12.75" customHeight="1">
      <c r="A614" s="9"/>
      <c r="B614" s="9"/>
      <c r="C614" s="10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9"/>
      <c r="S614" s="11"/>
      <c r="T614" s="9"/>
      <c r="U614" s="11"/>
      <c r="V614" s="9"/>
      <c r="W614" s="11"/>
      <c r="X614" s="9"/>
      <c r="Y614" s="11"/>
      <c r="Z614" s="11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ht="12.75" customHeight="1">
      <c r="A615" s="9"/>
      <c r="B615" s="9"/>
      <c r="C615" s="10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9"/>
      <c r="S615" s="11"/>
      <c r="T615" s="9"/>
      <c r="U615" s="11"/>
      <c r="V615" s="9"/>
      <c r="W615" s="11"/>
      <c r="X615" s="9"/>
      <c r="Y615" s="11"/>
      <c r="Z615" s="11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ht="12.75" customHeight="1">
      <c r="A616" s="9"/>
      <c r="B616" s="9"/>
      <c r="C616" s="10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9"/>
      <c r="S616" s="11"/>
      <c r="T616" s="9"/>
      <c r="U616" s="11"/>
      <c r="V616" s="9"/>
      <c r="W616" s="11"/>
      <c r="X616" s="9"/>
      <c r="Y616" s="11"/>
      <c r="Z616" s="11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ht="12.75" customHeight="1">
      <c r="A617" s="9"/>
      <c r="B617" s="9"/>
      <c r="C617" s="10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9"/>
      <c r="S617" s="11"/>
      <c r="T617" s="9"/>
      <c r="U617" s="11"/>
      <c r="V617" s="9"/>
      <c r="W617" s="11"/>
      <c r="X617" s="9"/>
      <c r="Y617" s="11"/>
      <c r="Z617" s="11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ht="12.75" customHeight="1">
      <c r="A618" s="9"/>
      <c r="B618" s="9"/>
      <c r="C618" s="10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9"/>
      <c r="S618" s="11"/>
      <c r="T618" s="9"/>
      <c r="U618" s="11"/>
      <c r="V618" s="9"/>
      <c r="W618" s="11"/>
      <c r="X618" s="9"/>
      <c r="Y618" s="11"/>
      <c r="Z618" s="11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ht="12.75" customHeight="1">
      <c r="A619" s="9"/>
      <c r="B619" s="9"/>
      <c r="C619" s="10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9"/>
      <c r="S619" s="11"/>
      <c r="T619" s="9"/>
      <c r="U619" s="11"/>
      <c r="V619" s="9"/>
      <c r="W619" s="11"/>
      <c r="X619" s="9"/>
      <c r="Y619" s="11"/>
      <c r="Z619" s="11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ht="12.75" customHeight="1">
      <c r="A620" s="9"/>
      <c r="B620" s="9"/>
      <c r="C620" s="10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9"/>
      <c r="S620" s="11"/>
      <c r="T620" s="9"/>
      <c r="U620" s="11"/>
      <c r="V620" s="9"/>
      <c r="W620" s="11"/>
      <c r="X620" s="9"/>
      <c r="Y620" s="11"/>
      <c r="Z620" s="11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ht="12.75" customHeight="1">
      <c r="A621" s="9"/>
      <c r="B621" s="9"/>
      <c r="C621" s="10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9"/>
      <c r="S621" s="11"/>
      <c r="T621" s="9"/>
      <c r="U621" s="11"/>
      <c r="V621" s="9"/>
      <c r="W621" s="11"/>
      <c r="X621" s="9"/>
      <c r="Y621" s="11"/>
      <c r="Z621" s="11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ht="12.75" customHeight="1">
      <c r="A622" s="9"/>
      <c r="B622" s="9"/>
      <c r="C622" s="10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9"/>
      <c r="S622" s="11"/>
      <c r="T622" s="9"/>
      <c r="U622" s="11"/>
      <c r="V622" s="9"/>
      <c r="W622" s="11"/>
      <c r="X622" s="9"/>
      <c r="Y622" s="11"/>
      <c r="Z622" s="11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ht="12.75" customHeight="1">
      <c r="A623" s="9"/>
      <c r="B623" s="9"/>
      <c r="C623" s="10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9"/>
      <c r="S623" s="11"/>
      <c r="T623" s="9"/>
      <c r="U623" s="11"/>
      <c r="V623" s="9"/>
      <c r="W623" s="11"/>
      <c r="X623" s="9"/>
      <c r="Y623" s="11"/>
      <c r="Z623" s="11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ht="12.75" customHeight="1">
      <c r="A624" s="9"/>
      <c r="B624" s="9"/>
      <c r="C624" s="10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9"/>
      <c r="S624" s="11"/>
      <c r="T624" s="9"/>
      <c r="U624" s="11"/>
      <c r="V624" s="9"/>
      <c r="W624" s="11"/>
      <c r="X624" s="9"/>
      <c r="Y624" s="11"/>
      <c r="Z624" s="11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ht="12.75" customHeight="1">
      <c r="A625" s="9"/>
      <c r="B625" s="9"/>
      <c r="C625" s="10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9"/>
      <c r="S625" s="11"/>
      <c r="T625" s="9"/>
      <c r="U625" s="11"/>
      <c r="V625" s="9"/>
      <c r="W625" s="11"/>
      <c r="X625" s="9"/>
      <c r="Y625" s="11"/>
      <c r="Z625" s="11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ht="12.75" customHeight="1">
      <c r="A626" s="9"/>
      <c r="B626" s="9"/>
      <c r="C626" s="10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9"/>
      <c r="S626" s="11"/>
      <c r="T626" s="9"/>
      <c r="U626" s="11"/>
      <c r="V626" s="9"/>
      <c r="W626" s="11"/>
      <c r="X626" s="9"/>
      <c r="Y626" s="11"/>
      <c r="Z626" s="11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ht="12.75" customHeight="1">
      <c r="A627" s="9"/>
      <c r="B627" s="9"/>
      <c r="C627" s="10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9"/>
      <c r="S627" s="11"/>
      <c r="T627" s="9"/>
      <c r="U627" s="11"/>
      <c r="V627" s="9"/>
      <c r="W627" s="11"/>
      <c r="X627" s="9"/>
      <c r="Y627" s="11"/>
      <c r="Z627" s="11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ht="12.75" customHeight="1">
      <c r="A628" s="9"/>
      <c r="B628" s="9"/>
      <c r="C628" s="10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9"/>
      <c r="S628" s="11"/>
      <c r="T628" s="9"/>
      <c r="U628" s="11"/>
      <c r="V628" s="9"/>
      <c r="W628" s="11"/>
      <c r="X628" s="9"/>
      <c r="Y628" s="11"/>
      <c r="Z628" s="11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ht="12.75" customHeight="1">
      <c r="A629" s="9"/>
      <c r="B629" s="9"/>
      <c r="C629" s="10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9"/>
      <c r="S629" s="11"/>
      <c r="T629" s="9"/>
      <c r="U629" s="11"/>
      <c r="V629" s="9"/>
      <c r="W629" s="11"/>
      <c r="X629" s="9"/>
      <c r="Y629" s="11"/>
      <c r="Z629" s="11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ht="12.75" customHeight="1">
      <c r="A630" s="9"/>
      <c r="B630" s="9"/>
      <c r="C630" s="10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9"/>
      <c r="S630" s="11"/>
      <c r="T630" s="9"/>
      <c r="U630" s="11"/>
      <c r="V630" s="9"/>
      <c r="W630" s="11"/>
      <c r="X630" s="9"/>
      <c r="Y630" s="11"/>
      <c r="Z630" s="11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ht="12.75" customHeight="1">
      <c r="A631" s="9"/>
      <c r="B631" s="9"/>
      <c r="C631" s="10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9"/>
      <c r="S631" s="11"/>
      <c r="T631" s="9"/>
      <c r="U631" s="11"/>
      <c r="V631" s="9"/>
      <c r="W631" s="11"/>
      <c r="X631" s="9"/>
      <c r="Y631" s="11"/>
      <c r="Z631" s="11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ht="12.75" customHeight="1">
      <c r="A632" s="9"/>
      <c r="B632" s="9"/>
      <c r="C632" s="10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9"/>
      <c r="S632" s="11"/>
      <c r="T632" s="9"/>
      <c r="U632" s="11"/>
      <c r="V632" s="9"/>
      <c r="W632" s="11"/>
      <c r="X632" s="9"/>
      <c r="Y632" s="11"/>
      <c r="Z632" s="11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ht="12.75" customHeight="1">
      <c r="A633" s="9"/>
      <c r="B633" s="9"/>
      <c r="C633" s="10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9"/>
      <c r="S633" s="11"/>
      <c r="T633" s="9"/>
      <c r="U633" s="11"/>
      <c r="V633" s="9"/>
      <c r="W633" s="11"/>
      <c r="X633" s="9"/>
      <c r="Y633" s="11"/>
      <c r="Z633" s="11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12.75" customHeight="1">
      <c r="A634" s="9"/>
      <c r="B634" s="9"/>
      <c r="C634" s="10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9"/>
      <c r="S634" s="11"/>
      <c r="T634" s="9"/>
      <c r="U634" s="11"/>
      <c r="V634" s="9"/>
      <c r="W634" s="11"/>
      <c r="X634" s="9"/>
      <c r="Y634" s="11"/>
      <c r="Z634" s="11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12.75" customHeight="1">
      <c r="A635" s="9"/>
      <c r="B635" s="9"/>
      <c r="C635" s="10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9"/>
      <c r="S635" s="11"/>
      <c r="T635" s="9"/>
      <c r="U635" s="11"/>
      <c r="V635" s="9"/>
      <c r="W635" s="11"/>
      <c r="X635" s="9"/>
      <c r="Y635" s="11"/>
      <c r="Z635" s="11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12.75" customHeight="1">
      <c r="A636" s="9"/>
      <c r="B636" s="9"/>
      <c r="C636" s="10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9"/>
      <c r="S636" s="11"/>
      <c r="T636" s="9"/>
      <c r="U636" s="11"/>
      <c r="V636" s="9"/>
      <c r="W636" s="11"/>
      <c r="X636" s="9"/>
      <c r="Y636" s="11"/>
      <c r="Z636" s="11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12.75" customHeight="1">
      <c r="A637" s="9"/>
      <c r="B637" s="9"/>
      <c r="C637" s="10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9"/>
      <c r="S637" s="11"/>
      <c r="T637" s="9"/>
      <c r="U637" s="11"/>
      <c r="V637" s="9"/>
      <c r="W637" s="11"/>
      <c r="X637" s="9"/>
      <c r="Y637" s="11"/>
      <c r="Z637" s="11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12.75" customHeight="1">
      <c r="A638" s="9"/>
      <c r="B638" s="9"/>
      <c r="C638" s="10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9"/>
      <c r="S638" s="11"/>
      <c r="T638" s="9"/>
      <c r="U638" s="11"/>
      <c r="V638" s="9"/>
      <c r="W638" s="11"/>
      <c r="X638" s="9"/>
      <c r="Y638" s="11"/>
      <c r="Z638" s="11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ht="12.75" customHeight="1">
      <c r="A639" s="9"/>
      <c r="B639" s="9"/>
      <c r="C639" s="10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9"/>
      <c r="S639" s="11"/>
      <c r="T639" s="9"/>
      <c r="U639" s="11"/>
      <c r="V639" s="9"/>
      <c r="W639" s="11"/>
      <c r="X639" s="9"/>
      <c r="Y639" s="11"/>
      <c r="Z639" s="11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ht="12.75" customHeight="1">
      <c r="A640" s="9"/>
      <c r="B640" s="9"/>
      <c r="C640" s="10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9"/>
      <c r="S640" s="11"/>
      <c r="T640" s="9"/>
      <c r="U640" s="11"/>
      <c r="V640" s="9"/>
      <c r="W640" s="11"/>
      <c r="X640" s="9"/>
      <c r="Y640" s="11"/>
      <c r="Z640" s="11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ht="12.75" customHeight="1">
      <c r="A641" s="9"/>
      <c r="B641" s="9"/>
      <c r="C641" s="10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9"/>
      <c r="S641" s="11"/>
      <c r="T641" s="9"/>
      <c r="U641" s="11"/>
      <c r="V641" s="9"/>
      <c r="W641" s="11"/>
      <c r="X641" s="9"/>
      <c r="Y641" s="11"/>
      <c r="Z641" s="11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ht="12.75" customHeight="1">
      <c r="A642" s="9"/>
      <c r="B642" s="9"/>
      <c r="C642" s="10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9"/>
      <c r="S642" s="11"/>
      <c r="T642" s="9"/>
      <c r="U642" s="11"/>
      <c r="V642" s="9"/>
      <c r="W642" s="11"/>
      <c r="X642" s="9"/>
      <c r="Y642" s="11"/>
      <c r="Z642" s="11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ht="12.75" customHeight="1">
      <c r="A643" s="9"/>
      <c r="B643" s="9"/>
      <c r="C643" s="10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9"/>
      <c r="S643" s="11"/>
      <c r="T643" s="9"/>
      <c r="U643" s="11"/>
      <c r="V643" s="9"/>
      <c r="W643" s="11"/>
      <c r="X643" s="9"/>
      <c r="Y643" s="11"/>
      <c r="Z643" s="11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ht="12.75" customHeight="1">
      <c r="A644" s="9"/>
      <c r="B644" s="9"/>
      <c r="C644" s="10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9"/>
      <c r="S644" s="11"/>
      <c r="T644" s="9"/>
      <c r="U644" s="11"/>
      <c r="V644" s="9"/>
      <c r="W644" s="11"/>
      <c r="X644" s="9"/>
      <c r="Y644" s="11"/>
      <c r="Z644" s="11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ht="12.75" customHeight="1">
      <c r="A645" s="9"/>
      <c r="B645" s="9"/>
      <c r="C645" s="10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9"/>
      <c r="S645" s="11"/>
      <c r="T645" s="9"/>
      <c r="U645" s="11"/>
      <c r="V645" s="9"/>
      <c r="W645" s="11"/>
      <c r="X645" s="9"/>
      <c r="Y645" s="11"/>
      <c r="Z645" s="11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ht="12.75" customHeight="1">
      <c r="A646" s="9"/>
      <c r="B646" s="9"/>
      <c r="C646" s="10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9"/>
      <c r="S646" s="11"/>
      <c r="T646" s="9"/>
      <c r="U646" s="11"/>
      <c r="V646" s="9"/>
      <c r="W646" s="11"/>
      <c r="X646" s="9"/>
      <c r="Y646" s="11"/>
      <c r="Z646" s="11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ht="12.75" customHeight="1">
      <c r="A647" s="9"/>
      <c r="B647" s="9"/>
      <c r="C647" s="10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9"/>
      <c r="S647" s="11"/>
      <c r="T647" s="9"/>
      <c r="U647" s="11"/>
      <c r="V647" s="9"/>
      <c r="W647" s="11"/>
      <c r="X647" s="9"/>
      <c r="Y647" s="11"/>
      <c r="Z647" s="11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ht="12.75" customHeight="1">
      <c r="A648" s="9"/>
      <c r="B648" s="9"/>
      <c r="C648" s="10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9"/>
      <c r="S648" s="11"/>
      <c r="T648" s="9"/>
      <c r="U648" s="11"/>
      <c r="V648" s="9"/>
      <c r="W648" s="11"/>
      <c r="X648" s="9"/>
      <c r="Y648" s="11"/>
      <c r="Z648" s="11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ht="12.75" customHeight="1">
      <c r="A649" s="9"/>
      <c r="B649" s="9"/>
      <c r="C649" s="10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9"/>
      <c r="S649" s="11"/>
      <c r="T649" s="9"/>
      <c r="U649" s="11"/>
      <c r="V649" s="9"/>
      <c r="W649" s="11"/>
      <c r="X649" s="9"/>
      <c r="Y649" s="11"/>
      <c r="Z649" s="11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ht="12.75" customHeight="1">
      <c r="A650" s="9"/>
      <c r="B650" s="9"/>
      <c r="C650" s="10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9"/>
      <c r="S650" s="11"/>
      <c r="T650" s="9"/>
      <c r="U650" s="11"/>
      <c r="V650" s="9"/>
      <c r="W650" s="11"/>
      <c r="X650" s="9"/>
      <c r="Y650" s="11"/>
      <c r="Z650" s="11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ht="12.75" customHeight="1">
      <c r="A651" s="9"/>
      <c r="B651" s="9"/>
      <c r="C651" s="10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9"/>
      <c r="S651" s="11"/>
      <c r="T651" s="9"/>
      <c r="U651" s="11"/>
      <c r="V651" s="9"/>
      <c r="W651" s="11"/>
      <c r="X651" s="9"/>
      <c r="Y651" s="11"/>
      <c r="Z651" s="11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ht="12.75" customHeight="1">
      <c r="A652" s="9"/>
      <c r="B652" s="9"/>
      <c r="C652" s="10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9"/>
      <c r="S652" s="11"/>
      <c r="T652" s="9"/>
      <c r="U652" s="11"/>
      <c r="V652" s="9"/>
      <c r="W652" s="11"/>
      <c r="X652" s="9"/>
      <c r="Y652" s="11"/>
      <c r="Z652" s="11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ht="12.75" customHeight="1">
      <c r="A653" s="9"/>
      <c r="B653" s="9"/>
      <c r="C653" s="10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9"/>
      <c r="S653" s="11"/>
      <c r="T653" s="9"/>
      <c r="U653" s="11"/>
      <c r="V653" s="9"/>
      <c r="W653" s="11"/>
      <c r="X653" s="9"/>
      <c r="Y653" s="11"/>
      <c r="Z653" s="11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ht="12.75" customHeight="1">
      <c r="A654" s="9"/>
      <c r="B654" s="9"/>
      <c r="C654" s="10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9"/>
      <c r="S654" s="11"/>
      <c r="T654" s="9"/>
      <c r="U654" s="11"/>
      <c r="V654" s="9"/>
      <c r="W654" s="11"/>
      <c r="X654" s="9"/>
      <c r="Y654" s="11"/>
      <c r="Z654" s="11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ht="12.75" customHeight="1">
      <c r="A655" s="9"/>
      <c r="B655" s="9"/>
      <c r="C655" s="10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9"/>
      <c r="S655" s="11"/>
      <c r="T655" s="9"/>
      <c r="U655" s="11"/>
      <c r="V655" s="9"/>
      <c r="W655" s="11"/>
      <c r="X655" s="9"/>
      <c r="Y655" s="11"/>
      <c r="Z655" s="11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ht="12.75" customHeight="1">
      <c r="A656" s="9"/>
      <c r="B656" s="9"/>
      <c r="C656" s="10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9"/>
      <c r="S656" s="11"/>
      <c r="T656" s="9"/>
      <c r="U656" s="11"/>
      <c r="V656" s="9"/>
      <c r="W656" s="11"/>
      <c r="X656" s="9"/>
      <c r="Y656" s="11"/>
      <c r="Z656" s="11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ht="12.75" customHeight="1">
      <c r="A657" s="9"/>
      <c r="B657" s="9"/>
      <c r="C657" s="10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9"/>
      <c r="S657" s="11"/>
      <c r="T657" s="9"/>
      <c r="U657" s="11"/>
      <c r="V657" s="9"/>
      <c r="W657" s="11"/>
      <c r="X657" s="9"/>
      <c r="Y657" s="11"/>
      <c r="Z657" s="11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ht="12.75" customHeight="1">
      <c r="A658" s="9"/>
      <c r="B658" s="9"/>
      <c r="C658" s="10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9"/>
      <c r="S658" s="11"/>
      <c r="T658" s="9"/>
      <c r="U658" s="11"/>
      <c r="V658" s="9"/>
      <c r="W658" s="11"/>
      <c r="X658" s="9"/>
      <c r="Y658" s="11"/>
      <c r="Z658" s="11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ht="12.75" customHeight="1">
      <c r="A659" s="9"/>
      <c r="B659" s="9"/>
      <c r="C659" s="10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9"/>
      <c r="S659" s="11"/>
      <c r="T659" s="9"/>
      <c r="U659" s="11"/>
      <c r="V659" s="9"/>
      <c r="W659" s="11"/>
      <c r="X659" s="9"/>
      <c r="Y659" s="11"/>
      <c r="Z659" s="11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ht="12.75" customHeight="1">
      <c r="A660" s="9"/>
      <c r="B660" s="9"/>
      <c r="C660" s="10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9"/>
      <c r="S660" s="11"/>
      <c r="T660" s="9"/>
      <c r="U660" s="11"/>
      <c r="V660" s="9"/>
      <c r="W660" s="11"/>
      <c r="X660" s="9"/>
      <c r="Y660" s="11"/>
      <c r="Z660" s="11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ht="12.75" customHeight="1">
      <c r="A661" s="9"/>
      <c r="B661" s="9"/>
      <c r="C661" s="10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9"/>
      <c r="S661" s="11"/>
      <c r="T661" s="9"/>
      <c r="U661" s="11"/>
      <c r="V661" s="9"/>
      <c r="W661" s="11"/>
      <c r="X661" s="9"/>
      <c r="Y661" s="11"/>
      <c r="Z661" s="11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ht="12.75" customHeight="1">
      <c r="A662" s="9"/>
      <c r="B662" s="9"/>
      <c r="C662" s="10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9"/>
      <c r="S662" s="11"/>
      <c r="T662" s="9"/>
      <c r="U662" s="11"/>
      <c r="V662" s="9"/>
      <c r="W662" s="11"/>
      <c r="X662" s="9"/>
      <c r="Y662" s="11"/>
      <c r="Z662" s="11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ht="12.75" customHeight="1">
      <c r="A663" s="9"/>
      <c r="B663" s="9"/>
      <c r="C663" s="10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9"/>
      <c r="S663" s="11"/>
      <c r="T663" s="9"/>
      <c r="U663" s="11"/>
      <c r="V663" s="9"/>
      <c r="W663" s="11"/>
      <c r="X663" s="9"/>
      <c r="Y663" s="11"/>
      <c r="Z663" s="11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ht="12.75" customHeight="1">
      <c r="A664" s="9"/>
      <c r="B664" s="9"/>
      <c r="C664" s="10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9"/>
      <c r="S664" s="11"/>
      <c r="T664" s="9"/>
      <c r="U664" s="11"/>
      <c r="V664" s="9"/>
      <c r="W664" s="11"/>
      <c r="X664" s="9"/>
      <c r="Y664" s="11"/>
      <c r="Z664" s="11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ht="12.75" customHeight="1">
      <c r="A665" s="9"/>
      <c r="B665" s="9"/>
      <c r="C665" s="10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9"/>
      <c r="S665" s="11"/>
      <c r="T665" s="9"/>
      <c r="U665" s="11"/>
      <c r="V665" s="9"/>
      <c r="W665" s="11"/>
      <c r="X665" s="9"/>
      <c r="Y665" s="11"/>
      <c r="Z665" s="11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ht="12.75" customHeight="1">
      <c r="A666" s="9"/>
      <c r="B666" s="9"/>
      <c r="C666" s="10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9"/>
      <c r="S666" s="11"/>
      <c r="T666" s="9"/>
      <c r="U666" s="11"/>
      <c r="V666" s="9"/>
      <c r="W666" s="11"/>
      <c r="X666" s="9"/>
      <c r="Y666" s="11"/>
      <c r="Z666" s="11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ht="12.75" customHeight="1">
      <c r="A667" s="9"/>
      <c r="B667" s="9"/>
      <c r="C667" s="10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9"/>
      <c r="S667" s="11"/>
      <c r="T667" s="9"/>
      <c r="U667" s="11"/>
      <c r="V667" s="9"/>
      <c r="W667" s="11"/>
      <c r="X667" s="9"/>
      <c r="Y667" s="11"/>
      <c r="Z667" s="11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ht="12.75" customHeight="1">
      <c r="A668" s="9"/>
      <c r="B668" s="9"/>
      <c r="C668" s="10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9"/>
      <c r="S668" s="11"/>
      <c r="T668" s="9"/>
      <c r="U668" s="11"/>
      <c r="V668" s="9"/>
      <c r="W668" s="11"/>
      <c r="X668" s="9"/>
      <c r="Y668" s="11"/>
      <c r="Z668" s="11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ht="12.75" customHeight="1">
      <c r="A669" s="9"/>
      <c r="B669" s="9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9"/>
      <c r="S669" s="11"/>
      <c r="T669" s="9"/>
      <c r="U669" s="11"/>
      <c r="V669" s="9"/>
      <c r="W669" s="11"/>
      <c r="X669" s="9"/>
      <c r="Y669" s="11"/>
      <c r="Z669" s="11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ht="12.75" customHeight="1">
      <c r="A670" s="9"/>
      <c r="B670" s="9"/>
      <c r="C670" s="10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9"/>
      <c r="S670" s="11"/>
      <c r="T670" s="9"/>
      <c r="U670" s="11"/>
      <c r="V670" s="9"/>
      <c r="W670" s="11"/>
      <c r="X670" s="9"/>
      <c r="Y670" s="11"/>
      <c r="Z670" s="11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ht="12.75" customHeight="1">
      <c r="A671" s="9"/>
      <c r="B671" s="9"/>
      <c r="C671" s="10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9"/>
      <c r="S671" s="11"/>
      <c r="T671" s="9"/>
      <c r="U671" s="11"/>
      <c r="V671" s="9"/>
      <c r="W671" s="11"/>
      <c r="X671" s="9"/>
      <c r="Y671" s="11"/>
      <c r="Z671" s="11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ht="12.75" customHeight="1">
      <c r="A672" s="9"/>
      <c r="B672" s="9"/>
      <c r="C672" s="10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9"/>
      <c r="S672" s="11"/>
      <c r="T672" s="9"/>
      <c r="U672" s="11"/>
      <c r="V672" s="9"/>
      <c r="W672" s="11"/>
      <c r="X672" s="9"/>
      <c r="Y672" s="11"/>
      <c r="Z672" s="11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ht="12.75" customHeight="1">
      <c r="A673" s="9"/>
      <c r="B673" s="9"/>
      <c r="C673" s="10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9"/>
      <c r="S673" s="11"/>
      <c r="T673" s="9"/>
      <c r="U673" s="11"/>
      <c r="V673" s="9"/>
      <c r="W673" s="11"/>
      <c r="X673" s="9"/>
      <c r="Y673" s="11"/>
      <c r="Z673" s="11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ht="12.75" customHeight="1">
      <c r="A674" s="9"/>
      <c r="B674" s="9"/>
      <c r="C674" s="10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9"/>
      <c r="S674" s="11"/>
      <c r="T674" s="9"/>
      <c r="U674" s="11"/>
      <c r="V674" s="9"/>
      <c r="W674" s="11"/>
      <c r="X674" s="9"/>
      <c r="Y674" s="11"/>
      <c r="Z674" s="11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ht="12.75" customHeight="1">
      <c r="A675" s="9"/>
      <c r="B675" s="9"/>
      <c r="C675" s="10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9"/>
      <c r="S675" s="11"/>
      <c r="T675" s="9"/>
      <c r="U675" s="11"/>
      <c r="V675" s="9"/>
      <c r="W675" s="11"/>
      <c r="X675" s="9"/>
      <c r="Y675" s="11"/>
      <c r="Z675" s="11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ht="12.75" customHeight="1">
      <c r="A676" s="9"/>
      <c r="B676" s="9"/>
      <c r="C676" s="10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9"/>
      <c r="S676" s="11"/>
      <c r="T676" s="9"/>
      <c r="U676" s="11"/>
      <c r="V676" s="9"/>
      <c r="W676" s="11"/>
      <c r="X676" s="9"/>
      <c r="Y676" s="11"/>
      <c r="Z676" s="11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ht="12.75" customHeight="1">
      <c r="A677" s="9"/>
      <c r="B677" s="9"/>
      <c r="C677" s="10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9"/>
      <c r="S677" s="11"/>
      <c r="T677" s="9"/>
      <c r="U677" s="11"/>
      <c r="V677" s="9"/>
      <c r="W677" s="11"/>
      <c r="X677" s="9"/>
      <c r="Y677" s="11"/>
      <c r="Z677" s="11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ht="12.75" customHeight="1">
      <c r="A678" s="9"/>
      <c r="B678" s="9"/>
      <c r="C678" s="10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9"/>
      <c r="S678" s="11"/>
      <c r="T678" s="9"/>
      <c r="U678" s="11"/>
      <c r="V678" s="9"/>
      <c r="W678" s="11"/>
      <c r="X678" s="9"/>
      <c r="Y678" s="11"/>
      <c r="Z678" s="11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ht="12.75" customHeight="1">
      <c r="A679" s="9"/>
      <c r="B679" s="9"/>
      <c r="C679" s="10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9"/>
      <c r="S679" s="11"/>
      <c r="T679" s="9"/>
      <c r="U679" s="11"/>
      <c r="V679" s="9"/>
      <c r="W679" s="11"/>
      <c r="X679" s="9"/>
      <c r="Y679" s="11"/>
      <c r="Z679" s="11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ht="12.75" customHeight="1">
      <c r="A680" s="9"/>
      <c r="B680" s="9"/>
      <c r="C680" s="10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9"/>
      <c r="S680" s="11"/>
      <c r="T680" s="9"/>
      <c r="U680" s="11"/>
      <c r="V680" s="9"/>
      <c r="W680" s="11"/>
      <c r="X680" s="9"/>
      <c r="Y680" s="11"/>
      <c r="Z680" s="11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ht="12.75" customHeight="1">
      <c r="A681" s="9"/>
      <c r="B681" s="9"/>
      <c r="C681" s="10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9"/>
      <c r="S681" s="11"/>
      <c r="T681" s="9"/>
      <c r="U681" s="11"/>
      <c r="V681" s="9"/>
      <c r="W681" s="11"/>
      <c r="X681" s="9"/>
      <c r="Y681" s="11"/>
      <c r="Z681" s="11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ht="12.75" customHeight="1">
      <c r="A682" s="9"/>
      <c r="B682" s="9"/>
      <c r="C682" s="10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9"/>
      <c r="S682" s="11"/>
      <c r="T682" s="9"/>
      <c r="U682" s="11"/>
      <c r="V682" s="9"/>
      <c r="W682" s="11"/>
      <c r="X682" s="9"/>
      <c r="Y682" s="11"/>
      <c r="Z682" s="11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ht="12.75" customHeight="1">
      <c r="A683" s="9"/>
      <c r="B683" s="9"/>
      <c r="C683" s="10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9"/>
      <c r="S683" s="11"/>
      <c r="T683" s="9"/>
      <c r="U683" s="11"/>
      <c r="V683" s="9"/>
      <c r="W683" s="11"/>
      <c r="X683" s="9"/>
      <c r="Y683" s="11"/>
      <c r="Z683" s="11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ht="12.75" customHeight="1">
      <c r="A684" s="9"/>
      <c r="B684" s="9"/>
      <c r="C684" s="10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9"/>
      <c r="S684" s="11"/>
      <c r="T684" s="9"/>
      <c r="U684" s="11"/>
      <c r="V684" s="9"/>
      <c r="W684" s="11"/>
      <c r="X684" s="9"/>
      <c r="Y684" s="11"/>
      <c r="Z684" s="11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ht="12.75" customHeight="1">
      <c r="A685" s="9"/>
      <c r="B685" s="9"/>
      <c r="C685" s="10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9"/>
      <c r="S685" s="11"/>
      <c r="T685" s="9"/>
      <c r="U685" s="11"/>
      <c r="V685" s="9"/>
      <c r="W685" s="11"/>
      <c r="X685" s="9"/>
      <c r="Y685" s="11"/>
      <c r="Z685" s="11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ht="12.75" customHeight="1">
      <c r="A686" s="9"/>
      <c r="B686" s="9"/>
      <c r="C686" s="10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9"/>
      <c r="S686" s="11"/>
      <c r="T686" s="9"/>
      <c r="U686" s="11"/>
      <c r="V686" s="9"/>
      <c r="W686" s="11"/>
      <c r="X686" s="9"/>
      <c r="Y686" s="11"/>
      <c r="Z686" s="11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ht="12.75" customHeight="1">
      <c r="A687" s="9"/>
      <c r="B687" s="9"/>
      <c r="C687" s="10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9"/>
      <c r="S687" s="11"/>
      <c r="T687" s="9"/>
      <c r="U687" s="11"/>
      <c r="V687" s="9"/>
      <c r="W687" s="11"/>
      <c r="X687" s="9"/>
      <c r="Y687" s="11"/>
      <c r="Z687" s="11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ht="12.75" customHeight="1">
      <c r="A688" s="9"/>
      <c r="B688" s="9"/>
      <c r="C688" s="10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9"/>
      <c r="S688" s="11"/>
      <c r="T688" s="9"/>
      <c r="U688" s="11"/>
      <c r="V688" s="9"/>
      <c r="W688" s="11"/>
      <c r="X688" s="9"/>
      <c r="Y688" s="11"/>
      <c r="Z688" s="11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ht="12.75" customHeight="1">
      <c r="A689" s="9"/>
      <c r="B689" s="9"/>
      <c r="C689" s="10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9"/>
      <c r="S689" s="11"/>
      <c r="T689" s="9"/>
      <c r="U689" s="11"/>
      <c r="V689" s="9"/>
      <c r="W689" s="11"/>
      <c r="X689" s="9"/>
      <c r="Y689" s="11"/>
      <c r="Z689" s="11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ht="12.75" customHeight="1">
      <c r="A690" s="9"/>
      <c r="B690" s="9"/>
      <c r="C690" s="10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9"/>
      <c r="S690" s="11"/>
      <c r="T690" s="9"/>
      <c r="U690" s="11"/>
      <c r="V690" s="9"/>
      <c r="W690" s="11"/>
      <c r="X690" s="9"/>
      <c r="Y690" s="11"/>
      <c r="Z690" s="11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ht="12.75" customHeight="1">
      <c r="A691" s="9"/>
      <c r="B691" s="9"/>
      <c r="C691" s="10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9"/>
      <c r="S691" s="11"/>
      <c r="T691" s="9"/>
      <c r="U691" s="11"/>
      <c r="V691" s="9"/>
      <c r="W691" s="11"/>
      <c r="X691" s="9"/>
      <c r="Y691" s="11"/>
      <c r="Z691" s="11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ht="12.75" customHeight="1">
      <c r="A692" s="9"/>
      <c r="B692" s="9"/>
      <c r="C692" s="10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9"/>
      <c r="S692" s="11"/>
      <c r="T692" s="9"/>
      <c r="U692" s="11"/>
      <c r="V692" s="9"/>
      <c r="W692" s="11"/>
      <c r="X692" s="9"/>
      <c r="Y692" s="11"/>
      <c r="Z692" s="11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ht="12.75" customHeight="1">
      <c r="A693" s="9"/>
      <c r="B693" s="9"/>
      <c r="C693" s="10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9"/>
      <c r="S693" s="11"/>
      <c r="T693" s="9"/>
      <c r="U693" s="11"/>
      <c r="V693" s="9"/>
      <c r="W693" s="11"/>
      <c r="X693" s="9"/>
      <c r="Y693" s="11"/>
      <c r="Z693" s="11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ht="12.75" customHeight="1">
      <c r="A694" s="9"/>
      <c r="B694" s="9"/>
      <c r="C694" s="10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9"/>
      <c r="S694" s="11"/>
      <c r="T694" s="9"/>
      <c r="U694" s="11"/>
      <c r="V694" s="9"/>
      <c r="W694" s="11"/>
      <c r="X694" s="9"/>
      <c r="Y694" s="11"/>
      <c r="Z694" s="11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ht="12.75" customHeight="1">
      <c r="A695" s="9"/>
      <c r="B695" s="9"/>
      <c r="C695" s="10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9"/>
      <c r="S695" s="11"/>
      <c r="T695" s="9"/>
      <c r="U695" s="11"/>
      <c r="V695" s="9"/>
      <c r="W695" s="11"/>
      <c r="X695" s="9"/>
      <c r="Y695" s="11"/>
      <c r="Z695" s="11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ht="12.75" customHeight="1">
      <c r="A696" s="9"/>
      <c r="B696" s="9"/>
      <c r="C696" s="10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9"/>
      <c r="S696" s="11"/>
      <c r="T696" s="9"/>
      <c r="U696" s="11"/>
      <c r="V696" s="9"/>
      <c r="W696" s="11"/>
      <c r="X696" s="9"/>
      <c r="Y696" s="11"/>
      <c r="Z696" s="11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ht="12.75" customHeight="1">
      <c r="A697" s="9"/>
      <c r="B697" s="9"/>
      <c r="C697" s="10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9"/>
      <c r="S697" s="11"/>
      <c r="T697" s="9"/>
      <c r="U697" s="11"/>
      <c r="V697" s="9"/>
      <c r="W697" s="11"/>
      <c r="X697" s="9"/>
      <c r="Y697" s="11"/>
      <c r="Z697" s="11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ht="12.75" customHeight="1">
      <c r="A698" s="9"/>
      <c r="B698" s="9"/>
      <c r="C698" s="10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9"/>
      <c r="S698" s="11"/>
      <c r="T698" s="9"/>
      <c r="U698" s="11"/>
      <c r="V698" s="9"/>
      <c r="W698" s="11"/>
      <c r="X698" s="9"/>
      <c r="Y698" s="11"/>
      <c r="Z698" s="11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ht="12.75" customHeight="1">
      <c r="A699" s="9"/>
      <c r="B699" s="9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9"/>
      <c r="S699" s="11"/>
      <c r="T699" s="9"/>
      <c r="U699" s="11"/>
      <c r="V699" s="9"/>
      <c r="W699" s="11"/>
      <c r="X699" s="9"/>
      <c r="Y699" s="11"/>
      <c r="Z699" s="11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ht="12.75" customHeight="1">
      <c r="A700" s="9"/>
      <c r="B700" s="9"/>
      <c r="C700" s="10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9"/>
      <c r="S700" s="11"/>
      <c r="T700" s="9"/>
      <c r="U700" s="11"/>
      <c r="V700" s="9"/>
      <c r="W700" s="11"/>
      <c r="X700" s="9"/>
      <c r="Y700" s="11"/>
      <c r="Z700" s="11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ht="12.75" customHeight="1">
      <c r="A701" s="9"/>
      <c r="B701" s="9"/>
      <c r="C701" s="10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9"/>
      <c r="S701" s="11"/>
      <c r="T701" s="9"/>
      <c r="U701" s="11"/>
      <c r="V701" s="9"/>
      <c r="W701" s="11"/>
      <c r="X701" s="9"/>
      <c r="Y701" s="11"/>
      <c r="Z701" s="11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ht="12.75" customHeight="1">
      <c r="A702" s="9"/>
      <c r="B702" s="9"/>
      <c r="C702" s="10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9"/>
      <c r="S702" s="11"/>
      <c r="T702" s="9"/>
      <c r="U702" s="11"/>
      <c r="V702" s="9"/>
      <c r="W702" s="11"/>
      <c r="X702" s="9"/>
      <c r="Y702" s="11"/>
      <c r="Z702" s="11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ht="12.75" customHeight="1">
      <c r="A703" s="9"/>
      <c r="B703" s="9"/>
      <c r="C703" s="10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9"/>
      <c r="S703" s="11"/>
      <c r="T703" s="9"/>
      <c r="U703" s="11"/>
      <c r="V703" s="9"/>
      <c r="W703" s="11"/>
      <c r="X703" s="9"/>
      <c r="Y703" s="11"/>
      <c r="Z703" s="11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ht="12.75" customHeight="1">
      <c r="A704" s="9"/>
      <c r="B704" s="9"/>
      <c r="C704" s="10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9"/>
      <c r="S704" s="11"/>
      <c r="T704" s="9"/>
      <c r="U704" s="11"/>
      <c r="V704" s="9"/>
      <c r="W704" s="11"/>
      <c r="X704" s="9"/>
      <c r="Y704" s="11"/>
      <c r="Z704" s="11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ht="12.75" customHeight="1">
      <c r="A705" s="9"/>
      <c r="B705" s="9"/>
      <c r="C705" s="10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9"/>
      <c r="S705" s="11"/>
      <c r="T705" s="9"/>
      <c r="U705" s="11"/>
      <c r="V705" s="9"/>
      <c r="W705" s="11"/>
      <c r="X705" s="9"/>
      <c r="Y705" s="11"/>
      <c r="Z705" s="11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ht="12.75" customHeight="1">
      <c r="A706" s="9"/>
      <c r="B706" s="9"/>
      <c r="C706" s="10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9"/>
      <c r="S706" s="11"/>
      <c r="T706" s="9"/>
      <c r="U706" s="11"/>
      <c r="V706" s="9"/>
      <c r="W706" s="11"/>
      <c r="X706" s="9"/>
      <c r="Y706" s="11"/>
      <c r="Z706" s="11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ht="12.75" customHeight="1">
      <c r="A707" s="9"/>
      <c r="B707" s="9"/>
      <c r="C707" s="10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9"/>
      <c r="S707" s="11"/>
      <c r="T707" s="9"/>
      <c r="U707" s="11"/>
      <c r="V707" s="9"/>
      <c r="W707" s="11"/>
      <c r="X707" s="9"/>
      <c r="Y707" s="11"/>
      <c r="Z707" s="11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ht="12.75" customHeight="1">
      <c r="A708" s="9"/>
      <c r="B708" s="9"/>
      <c r="C708" s="10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9"/>
      <c r="S708" s="11"/>
      <c r="T708" s="9"/>
      <c r="U708" s="11"/>
      <c r="V708" s="9"/>
      <c r="W708" s="11"/>
      <c r="X708" s="9"/>
      <c r="Y708" s="11"/>
      <c r="Z708" s="11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ht="12.75" customHeight="1">
      <c r="A709" s="9"/>
      <c r="B709" s="9"/>
      <c r="C709" s="10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9"/>
      <c r="S709" s="11"/>
      <c r="T709" s="9"/>
      <c r="U709" s="11"/>
      <c r="V709" s="9"/>
      <c r="W709" s="11"/>
      <c r="X709" s="9"/>
      <c r="Y709" s="11"/>
      <c r="Z709" s="11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ht="12.75" customHeight="1">
      <c r="A710" s="9"/>
      <c r="B710" s="9"/>
      <c r="C710" s="10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9"/>
      <c r="S710" s="11"/>
      <c r="T710" s="9"/>
      <c r="U710" s="11"/>
      <c r="V710" s="9"/>
      <c r="W710" s="11"/>
      <c r="X710" s="9"/>
      <c r="Y710" s="11"/>
      <c r="Z710" s="11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ht="12.75" customHeight="1">
      <c r="A711" s="9"/>
      <c r="B711" s="9"/>
      <c r="C711" s="10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9"/>
      <c r="S711" s="11"/>
      <c r="T711" s="9"/>
      <c r="U711" s="11"/>
      <c r="V711" s="9"/>
      <c r="W711" s="11"/>
      <c r="X711" s="9"/>
      <c r="Y711" s="11"/>
      <c r="Z711" s="11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ht="12.75" customHeight="1">
      <c r="A712" s="9"/>
      <c r="B712" s="9"/>
      <c r="C712" s="10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9"/>
      <c r="S712" s="11"/>
      <c r="T712" s="9"/>
      <c r="U712" s="11"/>
      <c r="V712" s="9"/>
      <c r="W712" s="11"/>
      <c r="X712" s="9"/>
      <c r="Y712" s="11"/>
      <c r="Z712" s="11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ht="12.75" customHeight="1">
      <c r="A713" s="9"/>
      <c r="B713" s="9"/>
      <c r="C713" s="10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9"/>
      <c r="S713" s="11"/>
      <c r="T713" s="9"/>
      <c r="U713" s="11"/>
      <c r="V713" s="9"/>
      <c r="W713" s="11"/>
      <c r="X713" s="9"/>
      <c r="Y713" s="11"/>
      <c r="Z713" s="11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ht="12.75" customHeight="1">
      <c r="A714" s="9"/>
      <c r="B714" s="9"/>
      <c r="C714" s="10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9"/>
      <c r="S714" s="11"/>
      <c r="T714" s="9"/>
      <c r="U714" s="11"/>
      <c r="V714" s="9"/>
      <c r="W714" s="11"/>
      <c r="X714" s="9"/>
      <c r="Y714" s="11"/>
      <c r="Z714" s="11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ht="12.75" customHeight="1">
      <c r="A715" s="9"/>
      <c r="B715" s="9"/>
      <c r="C715" s="10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9"/>
      <c r="S715" s="11"/>
      <c r="T715" s="9"/>
      <c r="U715" s="11"/>
      <c r="V715" s="9"/>
      <c r="W715" s="11"/>
      <c r="X715" s="9"/>
      <c r="Y715" s="11"/>
      <c r="Z715" s="11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ht="12.75" customHeight="1">
      <c r="A716" s="9"/>
      <c r="B716" s="9"/>
      <c r="C716" s="10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9"/>
      <c r="S716" s="11"/>
      <c r="T716" s="9"/>
      <c r="U716" s="11"/>
      <c r="V716" s="9"/>
      <c r="W716" s="11"/>
      <c r="X716" s="9"/>
      <c r="Y716" s="11"/>
      <c r="Z716" s="11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ht="12.75" customHeight="1">
      <c r="A717" s="9"/>
      <c r="B717" s="9"/>
      <c r="C717" s="10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9"/>
      <c r="S717" s="11"/>
      <c r="T717" s="9"/>
      <c r="U717" s="11"/>
      <c r="V717" s="9"/>
      <c r="W717" s="11"/>
      <c r="X717" s="9"/>
      <c r="Y717" s="11"/>
      <c r="Z717" s="11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ht="12.75" customHeight="1">
      <c r="A718" s="9"/>
      <c r="B718" s="9"/>
      <c r="C718" s="10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9"/>
      <c r="S718" s="11"/>
      <c r="T718" s="9"/>
      <c r="U718" s="11"/>
      <c r="V718" s="9"/>
      <c r="W718" s="11"/>
      <c r="X718" s="9"/>
      <c r="Y718" s="11"/>
      <c r="Z718" s="11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ht="12.75" customHeight="1">
      <c r="A719" s="9"/>
      <c r="B719" s="9"/>
      <c r="C719" s="10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9"/>
      <c r="S719" s="11"/>
      <c r="T719" s="9"/>
      <c r="U719" s="11"/>
      <c r="V719" s="9"/>
      <c r="W719" s="11"/>
      <c r="X719" s="9"/>
      <c r="Y719" s="11"/>
      <c r="Z719" s="11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ht="12.75" customHeight="1">
      <c r="A720" s="9"/>
      <c r="B720" s="9"/>
      <c r="C720" s="10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9"/>
      <c r="S720" s="11"/>
      <c r="T720" s="9"/>
      <c r="U720" s="11"/>
      <c r="V720" s="9"/>
      <c r="W720" s="11"/>
      <c r="X720" s="9"/>
      <c r="Y720" s="11"/>
      <c r="Z720" s="11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ht="12.75" customHeight="1">
      <c r="A721" s="9"/>
      <c r="B721" s="9"/>
      <c r="C721" s="10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9"/>
      <c r="S721" s="11"/>
      <c r="T721" s="9"/>
      <c r="U721" s="11"/>
      <c r="V721" s="9"/>
      <c r="W721" s="11"/>
      <c r="X721" s="9"/>
      <c r="Y721" s="11"/>
      <c r="Z721" s="11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ht="12.75" customHeight="1">
      <c r="A722" s="9"/>
      <c r="B722" s="9"/>
      <c r="C722" s="10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9"/>
      <c r="S722" s="11"/>
      <c r="T722" s="9"/>
      <c r="U722" s="11"/>
      <c r="V722" s="9"/>
      <c r="W722" s="11"/>
      <c r="X722" s="9"/>
      <c r="Y722" s="11"/>
      <c r="Z722" s="11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ht="12.75" customHeight="1">
      <c r="A723" s="9"/>
      <c r="B723" s="9"/>
      <c r="C723" s="10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9"/>
      <c r="S723" s="11"/>
      <c r="T723" s="9"/>
      <c r="U723" s="11"/>
      <c r="V723" s="9"/>
      <c r="W723" s="11"/>
      <c r="X723" s="9"/>
      <c r="Y723" s="11"/>
      <c r="Z723" s="11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ht="12.75" customHeight="1">
      <c r="A724" s="9"/>
      <c r="B724" s="9"/>
      <c r="C724" s="10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9"/>
      <c r="S724" s="11"/>
      <c r="T724" s="9"/>
      <c r="U724" s="11"/>
      <c r="V724" s="9"/>
      <c r="W724" s="11"/>
      <c r="X724" s="9"/>
      <c r="Y724" s="11"/>
      <c r="Z724" s="11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ht="12.75" customHeight="1">
      <c r="A725" s="9"/>
      <c r="B725" s="9"/>
      <c r="C725" s="10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9"/>
      <c r="S725" s="11"/>
      <c r="T725" s="9"/>
      <c r="U725" s="11"/>
      <c r="V725" s="9"/>
      <c r="W725" s="11"/>
      <c r="X725" s="9"/>
      <c r="Y725" s="11"/>
      <c r="Z725" s="11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ht="12.75" customHeight="1">
      <c r="A726" s="9"/>
      <c r="B726" s="9"/>
      <c r="C726" s="10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9"/>
      <c r="S726" s="11"/>
      <c r="T726" s="9"/>
      <c r="U726" s="11"/>
      <c r="V726" s="9"/>
      <c r="W726" s="11"/>
      <c r="X726" s="9"/>
      <c r="Y726" s="11"/>
      <c r="Z726" s="11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ht="12.75" customHeight="1">
      <c r="A727" s="9"/>
      <c r="B727" s="9"/>
      <c r="C727" s="10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9"/>
      <c r="S727" s="11"/>
      <c r="T727" s="9"/>
      <c r="U727" s="11"/>
      <c r="V727" s="9"/>
      <c r="W727" s="11"/>
      <c r="X727" s="9"/>
      <c r="Y727" s="11"/>
      <c r="Z727" s="11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ht="12.75" customHeight="1">
      <c r="A728" s="9"/>
      <c r="B728" s="9"/>
      <c r="C728" s="10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9"/>
      <c r="S728" s="11"/>
      <c r="T728" s="9"/>
      <c r="U728" s="11"/>
      <c r="V728" s="9"/>
      <c r="W728" s="11"/>
      <c r="X728" s="9"/>
      <c r="Y728" s="11"/>
      <c r="Z728" s="11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ht="12.75" customHeight="1">
      <c r="A729" s="9"/>
      <c r="B729" s="9"/>
      <c r="C729" s="10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9"/>
      <c r="S729" s="11"/>
      <c r="T729" s="9"/>
      <c r="U729" s="11"/>
      <c r="V729" s="9"/>
      <c r="W729" s="11"/>
      <c r="X729" s="9"/>
      <c r="Y729" s="11"/>
      <c r="Z729" s="11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ht="12.75" customHeight="1">
      <c r="A730" s="9"/>
      <c r="B730" s="9"/>
      <c r="C730" s="10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9"/>
      <c r="S730" s="11"/>
      <c r="T730" s="9"/>
      <c r="U730" s="11"/>
      <c r="V730" s="9"/>
      <c r="W730" s="11"/>
      <c r="X730" s="9"/>
      <c r="Y730" s="11"/>
      <c r="Z730" s="11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ht="12.75" customHeight="1">
      <c r="A731" s="9"/>
      <c r="B731" s="9"/>
      <c r="C731" s="10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9"/>
      <c r="S731" s="11"/>
      <c r="T731" s="9"/>
      <c r="U731" s="11"/>
      <c r="V731" s="9"/>
      <c r="W731" s="11"/>
      <c r="X731" s="9"/>
      <c r="Y731" s="11"/>
      <c r="Z731" s="11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ht="12.75" customHeight="1">
      <c r="A732" s="9"/>
      <c r="B732" s="9"/>
      <c r="C732" s="10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9"/>
      <c r="S732" s="11"/>
      <c r="T732" s="9"/>
      <c r="U732" s="11"/>
      <c r="V732" s="9"/>
      <c r="W732" s="11"/>
      <c r="X732" s="9"/>
      <c r="Y732" s="11"/>
      <c r="Z732" s="11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ht="12.75" customHeight="1">
      <c r="A733" s="9"/>
      <c r="B733" s="9"/>
      <c r="C733" s="10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9"/>
      <c r="S733" s="11"/>
      <c r="T733" s="9"/>
      <c r="U733" s="11"/>
      <c r="V733" s="9"/>
      <c r="W733" s="11"/>
      <c r="X733" s="9"/>
      <c r="Y733" s="11"/>
      <c r="Z733" s="11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ht="12.75" customHeight="1">
      <c r="A734" s="9"/>
      <c r="B734" s="9"/>
      <c r="C734" s="10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9"/>
      <c r="S734" s="11"/>
      <c r="T734" s="9"/>
      <c r="U734" s="11"/>
      <c r="V734" s="9"/>
      <c r="W734" s="11"/>
      <c r="X734" s="9"/>
      <c r="Y734" s="11"/>
      <c r="Z734" s="11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ht="12.75" customHeight="1">
      <c r="A735" s="9"/>
      <c r="B735" s="9"/>
      <c r="C735" s="10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9"/>
      <c r="S735" s="11"/>
      <c r="T735" s="9"/>
      <c r="U735" s="11"/>
      <c r="V735" s="9"/>
      <c r="W735" s="11"/>
      <c r="X735" s="9"/>
      <c r="Y735" s="11"/>
      <c r="Z735" s="11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ht="12.75" customHeight="1">
      <c r="A736" s="9"/>
      <c r="B736" s="9"/>
      <c r="C736" s="10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9"/>
      <c r="S736" s="11"/>
      <c r="T736" s="9"/>
      <c r="U736" s="11"/>
      <c r="V736" s="9"/>
      <c r="W736" s="11"/>
      <c r="X736" s="9"/>
      <c r="Y736" s="11"/>
      <c r="Z736" s="11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ht="12.75" customHeight="1">
      <c r="A737" s="9"/>
      <c r="B737" s="9"/>
      <c r="C737" s="10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9"/>
      <c r="S737" s="11"/>
      <c r="T737" s="9"/>
      <c r="U737" s="11"/>
      <c r="V737" s="9"/>
      <c r="W737" s="11"/>
      <c r="X737" s="9"/>
      <c r="Y737" s="11"/>
      <c r="Z737" s="11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ht="12.75" customHeight="1">
      <c r="A738" s="9"/>
      <c r="B738" s="9"/>
      <c r="C738" s="10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9"/>
      <c r="S738" s="11"/>
      <c r="T738" s="9"/>
      <c r="U738" s="11"/>
      <c r="V738" s="9"/>
      <c r="W738" s="11"/>
      <c r="X738" s="9"/>
      <c r="Y738" s="11"/>
      <c r="Z738" s="11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ht="12.75" customHeight="1">
      <c r="A739" s="9"/>
      <c r="B739" s="9"/>
      <c r="C739" s="10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9"/>
      <c r="S739" s="11"/>
      <c r="T739" s="9"/>
      <c r="U739" s="11"/>
      <c r="V739" s="9"/>
      <c r="W739" s="11"/>
      <c r="X739" s="9"/>
      <c r="Y739" s="11"/>
      <c r="Z739" s="11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ht="12.75" customHeight="1">
      <c r="A740" s="9"/>
      <c r="B740" s="9"/>
      <c r="C740" s="10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9"/>
      <c r="S740" s="11"/>
      <c r="T740" s="9"/>
      <c r="U740" s="11"/>
      <c r="V740" s="9"/>
      <c r="W740" s="11"/>
      <c r="X740" s="9"/>
      <c r="Y740" s="11"/>
      <c r="Z740" s="11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ht="12.75" customHeight="1">
      <c r="A741" s="9"/>
      <c r="B741" s="9"/>
      <c r="C741" s="10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9"/>
      <c r="S741" s="11"/>
      <c r="T741" s="9"/>
      <c r="U741" s="11"/>
      <c r="V741" s="9"/>
      <c r="W741" s="11"/>
      <c r="X741" s="9"/>
      <c r="Y741" s="11"/>
      <c r="Z741" s="11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ht="12.75" customHeight="1">
      <c r="A742" s="9"/>
      <c r="B742" s="9"/>
      <c r="C742" s="10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9"/>
      <c r="S742" s="11"/>
      <c r="T742" s="9"/>
      <c r="U742" s="11"/>
      <c r="V742" s="9"/>
      <c r="W742" s="11"/>
      <c r="X742" s="9"/>
      <c r="Y742" s="11"/>
      <c r="Z742" s="11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ht="12.75" customHeight="1">
      <c r="A743" s="9"/>
      <c r="B743" s="9"/>
      <c r="C743" s="10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9"/>
      <c r="S743" s="11"/>
      <c r="T743" s="9"/>
      <c r="U743" s="11"/>
      <c r="V743" s="9"/>
      <c r="W743" s="11"/>
      <c r="X743" s="9"/>
      <c r="Y743" s="11"/>
      <c r="Z743" s="11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ht="12.75" customHeight="1">
      <c r="A744" s="9"/>
      <c r="B744" s="9"/>
      <c r="C744" s="10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9"/>
      <c r="S744" s="11"/>
      <c r="T744" s="9"/>
      <c r="U744" s="11"/>
      <c r="V744" s="9"/>
      <c r="W744" s="11"/>
      <c r="X744" s="9"/>
      <c r="Y744" s="11"/>
      <c r="Z744" s="11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ht="12.75" customHeight="1">
      <c r="A745" s="9"/>
      <c r="B745" s="9"/>
      <c r="C745" s="10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9"/>
      <c r="S745" s="11"/>
      <c r="T745" s="9"/>
      <c r="U745" s="11"/>
      <c r="V745" s="9"/>
      <c r="W745" s="11"/>
      <c r="X745" s="9"/>
      <c r="Y745" s="11"/>
      <c r="Z745" s="11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ht="12.75" customHeight="1">
      <c r="A746" s="9"/>
      <c r="B746" s="9"/>
      <c r="C746" s="10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9"/>
      <c r="S746" s="11"/>
      <c r="T746" s="9"/>
      <c r="U746" s="11"/>
      <c r="V746" s="9"/>
      <c r="W746" s="11"/>
      <c r="X746" s="9"/>
      <c r="Y746" s="11"/>
      <c r="Z746" s="11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ht="12.75" customHeight="1">
      <c r="A747" s="9"/>
      <c r="B747" s="9"/>
      <c r="C747" s="10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9"/>
      <c r="S747" s="11"/>
      <c r="T747" s="9"/>
      <c r="U747" s="11"/>
      <c r="V747" s="9"/>
      <c r="W747" s="11"/>
      <c r="X747" s="9"/>
      <c r="Y747" s="11"/>
      <c r="Z747" s="11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ht="12.75" customHeight="1">
      <c r="A748" s="9"/>
      <c r="B748" s="9"/>
      <c r="C748" s="10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9"/>
      <c r="S748" s="11"/>
      <c r="T748" s="9"/>
      <c r="U748" s="11"/>
      <c r="V748" s="9"/>
      <c r="W748" s="11"/>
      <c r="X748" s="9"/>
      <c r="Y748" s="11"/>
      <c r="Z748" s="11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ht="12.75" customHeight="1">
      <c r="A749" s="9"/>
      <c r="B749" s="9"/>
      <c r="C749" s="10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9"/>
      <c r="S749" s="11"/>
      <c r="T749" s="9"/>
      <c r="U749" s="11"/>
      <c r="V749" s="9"/>
      <c r="W749" s="11"/>
      <c r="X749" s="9"/>
      <c r="Y749" s="11"/>
      <c r="Z749" s="11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ht="12.75" customHeight="1">
      <c r="A750" s="9"/>
      <c r="B750" s="9"/>
      <c r="C750" s="10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9"/>
      <c r="S750" s="11"/>
      <c r="T750" s="9"/>
      <c r="U750" s="11"/>
      <c r="V750" s="9"/>
      <c r="W750" s="11"/>
      <c r="X750" s="9"/>
      <c r="Y750" s="11"/>
      <c r="Z750" s="11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ht="12.75" customHeight="1">
      <c r="A751" s="9"/>
      <c r="B751" s="9"/>
      <c r="C751" s="10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9"/>
      <c r="S751" s="11"/>
      <c r="T751" s="9"/>
      <c r="U751" s="11"/>
      <c r="V751" s="9"/>
      <c r="W751" s="11"/>
      <c r="X751" s="9"/>
      <c r="Y751" s="11"/>
      <c r="Z751" s="11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ht="12.75" customHeight="1">
      <c r="A752" s="9"/>
      <c r="B752" s="9"/>
      <c r="C752" s="10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9"/>
      <c r="S752" s="11"/>
      <c r="T752" s="9"/>
      <c r="U752" s="11"/>
      <c r="V752" s="9"/>
      <c r="W752" s="11"/>
      <c r="X752" s="9"/>
      <c r="Y752" s="11"/>
      <c r="Z752" s="11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ht="12.75" customHeight="1">
      <c r="A753" s="9"/>
      <c r="B753" s="9"/>
      <c r="C753" s="10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9"/>
      <c r="S753" s="11"/>
      <c r="T753" s="9"/>
      <c r="U753" s="11"/>
      <c r="V753" s="9"/>
      <c r="W753" s="11"/>
      <c r="X753" s="9"/>
      <c r="Y753" s="11"/>
      <c r="Z753" s="11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ht="12.75" customHeight="1">
      <c r="A754" s="9"/>
      <c r="B754" s="9"/>
      <c r="C754" s="10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9"/>
      <c r="S754" s="11"/>
      <c r="T754" s="9"/>
      <c r="U754" s="11"/>
      <c r="V754" s="9"/>
      <c r="W754" s="11"/>
      <c r="X754" s="9"/>
      <c r="Y754" s="11"/>
      <c r="Z754" s="11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ht="12.75" customHeight="1">
      <c r="A755" s="9"/>
      <c r="B755" s="9"/>
      <c r="C755" s="10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9"/>
      <c r="S755" s="11"/>
      <c r="T755" s="9"/>
      <c r="U755" s="11"/>
      <c r="V755" s="9"/>
      <c r="W755" s="11"/>
      <c r="X755" s="9"/>
      <c r="Y755" s="11"/>
      <c r="Z755" s="11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ht="12.75" customHeight="1">
      <c r="A756" s="9"/>
      <c r="B756" s="9"/>
      <c r="C756" s="10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9"/>
      <c r="S756" s="11"/>
      <c r="T756" s="9"/>
      <c r="U756" s="11"/>
      <c r="V756" s="9"/>
      <c r="W756" s="11"/>
      <c r="X756" s="9"/>
      <c r="Y756" s="11"/>
      <c r="Z756" s="11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ht="12.75" customHeight="1">
      <c r="A757" s="9"/>
      <c r="B757" s="9"/>
      <c r="C757" s="10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9"/>
      <c r="S757" s="11"/>
      <c r="T757" s="9"/>
      <c r="U757" s="11"/>
      <c r="V757" s="9"/>
      <c r="W757" s="11"/>
      <c r="X757" s="9"/>
      <c r="Y757" s="11"/>
      <c r="Z757" s="11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ht="12.75" customHeight="1">
      <c r="A758" s="9"/>
      <c r="B758" s="9"/>
      <c r="C758" s="10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9"/>
      <c r="S758" s="11"/>
      <c r="T758" s="9"/>
      <c r="U758" s="11"/>
      <c r="V758" s="9"/>
      <c r="W758" s="11"/>
      <c r="X758" s="9"/>
      <c r="Y758" s="11"/>
      <c r="Z758" s="11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ht="12.75" customHeight="1">
      <c r="A759" s="9"/>
      <c r="B759" s="9"/>
      <c r="C759" s="10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9"/>
      <c r="S759" s="11"/>
      <c r="T759" s="9"/>
      <c r="U759" s="11"/>
      <c r="V759" s="9"/>
      <c r="W759" s="11"/>
      <c r="X759" s="9"/>
      <c r="Y759" s="11"/>
      <c r="Z759" s="11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ht="12.75" customHeight="1">
      <c r="A760" s="9"/>
      <c r="B760" s="9"/>
      <c r="C760" s="10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9"/>
      <c r="S760" s="11"/>
      <c r="T760" s="9"/>
      <c r="U760" s="11"/>
      <c r="V760" s="9"/>
      <c r="W760" s="11"/>
      <c r="X760" s="9"/>
      <c r="Y760" s="11"/>
      <c r="Z760" s="11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ht="12.75" customHeight="1">
      <c r="A761" s="9"/>
      <c r="B761" s="9"/>
      <c r="C761" s="10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9"/>
      <c r="S761" s="11"/>
      <c r="T761" s="9"/>
      <c r="U761" s="11"/>
      <c r="V761" s="9"/>
      <c r="W761" s="11"/>
      <c r="X761" s="9"/>
      <c r="Y761" s="11"/>
      <c r="Z761" s="11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ht="12.75" customHeight="1">
      <c r="A762" s="9"/>
      <c r="B762" s="9"/>
      <c r="C762" s="10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9"/>
      <c r="S762" s="11"/>
      <c r="T762" s="9"/>
      <c r="U762" s="11"/>
      <c r="V762" s="9"/>
      <c r="W762" s="11"/>
      <c r="X762" s="9"/>
      <c r="Y762" s="11"/>
      <c r="Z762" s="11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ht="12.75" customHeight="1">
      <c r="A763" s="9"/>
      <c r="B763" s="9"/>
      <c r="C763" s="10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9"/>
      <c r="S763" s="11"/>
      <c r="T763" s="9"/>
      <c r="U763" s="11"/>
      <c r="V763" s="9"/>
      <c r="W763" s="11"/>
      <c r="X763" s="9"/>
      <c r="Y763" s="11"/>
      <c r="Z763" s="11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ht="12.75" customHeight="1">
      <c r="A764" s="9"/>
      <c r="B764" s="9"/>
      <c r="C764" s="10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9"/>
      <c r="S764" s="11"/>
      <c r="T764" s="9"/>
      <c r="U764" s="11"/>
      <c r="V764" s="9"/>
      <c r="W764" s="11"/>
      <c r="X764" s="9"/>
      <c r="Y764" s="11"/>
      <c r="Z764" s="11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ht="12.75" customHeight="1">
      <c r="A765" s="9"/>
      <c r="B765" s="9"/>
      <c r="C765" s="10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9"/>
      <c r="S765" s="11"/>
      <c r="T765" s="9"/>
      <c r="U765" s="11"/>
      <c r="V765" s="9"/>
      <c r="W765" s="11"/>
      <c r="X765" s="9"/>
      <c r="Y765" s="11"/>
      <c r="Z765" s="11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ht="12.75" customHeight="1">
      <c r="A766" s="9"/>
      <c r="B766" s="9"/>
      <c r="C766" s="10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9"/>
      <c r="S766" s="11"/>
      <c r="T766" s="9"/>
      <c r="U766" s="11"/>
      <c r="V766" s="9"/>
      <c r="W766" s="11"/>
      <c r="X766" s="9"/>
      <c r="Y766" s="11"/>
      <c r="Z766" s="11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ht="12.75" customHeight="1">
      <c r="A767" s="9"/>
      <c r="B767" s="9"/>
      <c r="C767" s="10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9"/>
      <c r="S767" s="11"/>
      <c r="T767" s="9"/>
      <c r="U767" s="11"/>
      <c r="V767" s="9"/>
      <c r="W767" s="11"/>
      <c r="X767" s="9"/>
      <c r="Y767" s="11"/>
      <c r="Z767" s="11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ht="12.75" customHeight="1">
      <c r="A768" s="9"/>
      <c r="B768" s="9"/>
      <c r="C768" s="10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9"/>
      <c r="S768" s="11"/>
      <c r="T768" s="9"/>
      <c r="U768" s="11"/>
      <c r="V768" s="9"/>
      <c r="W768" s="11"/>
      <c r="X768" s="9"/>
      <c r="Y768" s="11"/>
      <c r="Z768" s="11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ht="12.75" customHeight="1">
      <c r="A769" s="9"/>
      <c r="B769" s="9"/>
      <c r="C769" s="10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9"/>
      <c r="S769" s="11"/>
      <c r="T769" s="9"/>
      <c r="U769" s="11"/>
      <c r="V769" s="9"/>
      <c r="W769" s="11"/>
      <c r="X769" s="9"/>
      <c r="Y769" s="11"/>
      <c r="Z769" s="11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ht="12.75" customHeight="1">
      <c r="A770" s="9"/>
      <c r="B770" s="9"/>
      <c r="C770" s="10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9"/>
      <c r="S770" s="11"/>
      <c r="T770" s="9"/>
      <c r="U770" s="11"/>
      <c r="V770" s="9"/>
      <c r="W770" s="11"/>
      <c r="X770" s="9"/>
      <c r="Y770" s="11"/>
      <c r="Z770" s="11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ht="12.75" customHeight="1">
      <c r="A771" s="9"/>
      <c r="B771" s="9"/>
      <c r="C771" s="10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9"/>
      <c r="S771" s="11"/>
      <c r="T771" s="9"/>
      <c r="U771" s="11"/>
      <c r="V771" s="9"/>
      <c r="W771" s="11"/>
      <c r="X771" s="9"/>
      <c r="Y771" s="11"/>
      <c r="Z771" s="11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ht="12.75" customHeight="1">
      <c r="A772" s="9"/>
      <c r="B772" s="9"/>
      <c r="C772" s="10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9"/>
      <c r="S772" s="11"/>
      <c r="T772" s="9"/>
      <c r="U772" s="11"/>
      <c r="V772" s="9"/>
      <c r="W772" s="11"/>
      <c r="X772" s="9"/>
      <c r="Y772" s="11"/>
      <c r="Z772" s="11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ht="12.75" customHeight="1">
      <c r="A773" s="9"/>
      <c r="B773" s="9"/>
      <c r="C773" s="10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9"/>
      <c r="S773" s="11"/>
      <c r="T773" s="9"/>
      <c r="U773" s="11"/>
      <c r="V773" s="9"/>
      <c r="W773" s="11"/>
      <c r="X773" s="9"/>
      <c r="Y773" s="11"/>
      <c r="Z773" s="11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ht="12.75" customHeight="1">
      <c r="A774" s="9"/>
      <c r="B774" s="9"/>
      <c r="C774" s="10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9"/>
      <c r="S774" s="11"/>
      <c r="T774" s="9"/>
      <c r="U774" s="11"/>
      <c r="V774" s="9"/>
      <c r="W774" s="11"/>
      <c r="X774" s="9"/>
      <c r="Y774" s="11"/>
      <c r="Z774" s="11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ht="12.75" customHeight="1">
      <c r="A775" s="9"/>
      <c r="B775" s="9"/>
      <c r="C775" s="10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9"/>
      <c r="S775" s="11"/>
      <c r="T775" s="9"/>
      <c r="U775" s="11"/>
      <c r="V775" s="9"/>
      <c r="W775" s="11"/>
      <c r="X775" s="9"/>
      <c r="Y775" s="11"/>
      <c r="Z775" s="11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ht="12.75" customHeight="1">
      <c r="A776" s="9"/>
      <c r="B776" s="9"/>
      <c r="C776" s="10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9"/>
      <c r="S776" s="11"/>
      <c r="T776" s="9"/>
      <c r="U776" s="11"/>
      <c r="V776" s="9"/>
      <c r="W776" s="11"/>
      <c r="X776" s="9"/>
      <c r="Y776" s="11"/>
      <c r="Z776" s="11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ht="12.75" customHeight="1">
      <c r="A777" s="9"/>
      <c r="B777" s="9"/>
      <c r="C777" s="10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9"/>
      <c r="S777" s="11"/>
      <c r="T777" s="9"/>
      <c r="U777" s="11"/>
      <c r="V777" s="9"/>
      <c r="W777" s="11"/>
      <c r="X777" s="9"/>
      <c r="Y777" s="11"/>
      <c r="Z777" s="11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ht="12.75" customHeight="1">
      <c r="A778" s="9"/>
      <c r="B778" s="9"/>
      <c r="C778" s="10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9"/>
      <c r="S778" s="11"/>
      <c r="T778" s="9"/>
      <c r="U778" s="11"/>
      <c r="V778" s="9"/>
      <c r="W778" s="11"/>
      <c r="X778" s="9"/>
      <c r="Y778" s="11"/>
      <c r="Z778" s="11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ht="12.75" customHeight="1">
      <c r="A779" s="9"/>
      <c r="B779" s="9"/>
      <c r="C779" s="10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9"/>
      <c r="S779" s="11"/>
      <c r="T779" s="9"/>
      <c r="U779" s="11"/>
      <c r="V779" s="9"/>
      <c r="W779" s="11"/>
      <c r="X779" s="9"/>
      <c r="Y779" s="11"/>
      <c r="Z779" s="11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ht="12.75" customHeight="1">
      <c r="A780" s="9"/>
      <c r="B780" s="9"/>
      <c r="C780" s="10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9"/>
      <c r="S780" s="11"/>
      <c r="T780" s="9"/>
      <c r="U780" s="11"/>
      <c r="V780" s="9"/>
      <c r="W780" s="11"/>
      <c r="X780" s="9"/>
      <c r="Y780" s="11"/>
      <c r="Z780" s="11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ht="12.75" customHeight="1">
      <c r="A781" s="9"/>
      <c r="B781" s="9"/>
      <c r="C781" s="10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9"/>
      <c r="S781" s="11"/>
      <c r="T781" s="9"/>
      <c r="U781" s="11"/>
      <c r="V781" s="9"/>
      <c r="W781" s="11"/>
      <c r="X781" s="9"/>
      <c r="Y781" s="11"/>
      <c r="Z781" s="11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ht="12.75" customHeight="1">
      <c r="A782" s="9"/>
      <c r="B782" s="9"/>
      <c r="C782" s="10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9"/>
      <c r="S782" s="11"/>
      <c r="T782" s="9"/>
      <c r="U782" s="11"/>
      <c r="V782" s="9"/>
      <c r="W782" s="11"/>
      <c r="X782" s="9"/>
      <c r="Y782" s="11"/>
      <c r="Z782" s="11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ht="12.75" customHeight="1">
      <c r="A783" s="9"/>
      <c r="B783" s="9"/>
      <c r="C783" s="10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9"/>
      <c r="S783" s="11"/>
      <c r="T783" s="9"/>
      <c r="U783" s="11"/>
      <c r="V783" s="9"/>
      <c r="W783" s="11"/>
      <c r="X783" s="9"/>
      <c r="Y783" s="11"/>
      <c r="Z783" s="11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ht="12.75" customHeight="1">
      <c r="A784" s="9"/>
      <c r="B784" s="9"/>
      <c r="C784" s="10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9"/>
      <c r="S784" s="11"/>
      <c r="T784" s="9"/>
      <c r="U784" s="11"/>
      <c r="V784" s="9"/>
      <c r="W784" s="11"/>
      <c r="X784" s="9"/>
      <c r="Y784" s="11"/>
      <c r="Z784" s="11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ht="12.75" customHeight="1">
      <c r="A785" s="9"/>
      <c r="B785" s="9"/>
      <c r="C785" s="10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9"/>
      <c r="S785" s="11"/>
      <c r="T785" s="9"/>
      <c r="U785" s="11"/>
      <c r="V785" s="9"/>
      <c r="W785" s="11"/>
      <c r="X785" s="9"/>
      <c r="Y785" s="11"/>
      <c r="Z785" s="11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ht="12.75" customHeight="1">
      <c r="A786" s="9"/>
      <c r="B786" s="9"/>
      <c r="C786" s="10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9"/>
      <c r="S786" s="11"/>
      <c r="T786" s="9"/>
      <c r="U786" s="11"/>
      <c r="V786" s="9"/>
      <c r="W786" s="11"/>
      <c r="X786" s="9"/>
      <c r="Y786" s="11"/>
      <c r="Z786" s="11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ht="12.75" customHeight="1">
      <c r="A787" s="9"/>
      <c r="B787" s="9"/>
      <c r="C787" s="10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9"/>
      <c r="S787" s="11"/>
      <c r="T787" s="9"/>
      <c r="U787" s="11"/>
      <c r="V787" s="9"/>
      <c r="W787" s="11"/>
      <c r="X787" s="9"/>
      <c r="Y787" s="11"/>
      <c r="Z787" s="11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ht="12.75" customHeight="1">
      <c r="A788" s="9"/>
      <c r="B788" s="9"/>
      <c r="C788" s="10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9"/>
      <c r="S788" s="11"/>
      <c r="T788" s="9"/>
      <c r="U788" s="11"/>
      <c r="V788" s="9"/>
      <c r="W788" s="11"/>
      <c r="X788" s="9"/>
      <c r="Y788" s="11"/>
      <c r="Z788" s="11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ht="12.75" customHeight="1">
      <c r="A789" s="9"/>
      <c r="B789" s="9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9"/>
      <c r="S789" s="11"/>
      <c r="T789" s="9"/>
      <c r="U789" s="11"/>
      <c r="V789" s="9"/>
      <c r="W789" s="11"/>
      <c r="X789" s="9"/>
      <c r="Y789" s="11"/>
      <c r="Z789" s="11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ht="12.75" customHeight="1">
      <c r="A790" s="9"/>
      <c r="B790" s="9"/>
      <c r="C790" s="10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9"/>
      <c r="S790" s="11"/>
      <c r="T790" s="9"/>
      <c r="U790" s="11"/>
      <c r="V790" s="9"/>
      <c r="W790" s="11"/>
      <c r="X790" s="9"/>
      <c r="Y790" s="11"/>
      <c r="Z790" s="11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ht="12.75" customHeight="1">
      <c r="A791" s="9"/>
      <c r="B791" s="9"/>
      <c r="C791" s="10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9"/>
      <c r="S791" s="11"/>
      <c r="T791" s="9"/>
      <c r="U791" s="11"/>
      <c r="V791" s="9"/>
      <c r="W791" s="11"/>
      <c r="X791" s="9"/>
      <c r="Y791" s="11"/>
      <c r="Z791" s="11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ht="12.75" customHeight="1">
      <c r="A792" s="9"/>
      <c r="B792" s="9"/>
      <c r="C792" s="10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9"/>
      <c r="S792" s="11"/>
      <c r="T792" s="9"/>
      <c r="U792" s="11"/>
      <c r="V792" s="9"/>
      <c r="W792" s="11"/>
      <c r="X792" s="9"/>
      <c r="Y792" s="11"/>
      <c r="Z792" s="11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ht="12.75" customHeight="1">
      <c r="A793" s="9"/>
      <c r="B793" s="9"/>
      <c r="C793" s="10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9"/>
      <c r="S793" s="11"/>
      <c r="T793" s="9"/>
      <c r="U793" s="11"/>
      <c r="V793" s="9"/>
      <c r="W793" s="11"/>
      <c r="X793" s="9"/>
      <c r="Y793" s="11"/>
      <c r="Z793" s="11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ht="12.75" customHeight="1">
      <c r="A794" s="9"/>
      <c r="B794" s="9"/>
      <c r="C794" s="10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9"/>
      <c r="S794" s="11"/>
      <c r="T794" s="9"/>
      <c r="U794" s="11"/>
      <c r="V794" s="9"/>
      <c r="W794" s="11"/>
      <c r="X794" s="9"/>
      <c r="Y794" s="11"/>
      <c r="Z794" s="11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ht="12.75" customHeight="1">
      <c r="A795" s="9"/>
      <c r="B795" s="9"/>
      <c r="C795" s="10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9"/>
      <c r="S795" s="11"/>
      <c r="T795" s="9"/>
      <c r="U795" s="11"/>
      <c r="V795" s="9"/>
      <c r="W795" s="11"/>
      <c r="X795" s="9"/>
      <c r="Y795" s="11"/>
      <c r="Z795" s="11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ht="12.75" customHeight="1">
      <c r="A796" s="9"/>
      <c r="B796" s="9"/>
      <c r="C796" s="10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9"/>
      <c r="S796" s="11"/>
      <c r="T796" s="9"/>
      <c r="U796" s="11"/>
      <c r="V796" s="9"/>
      <c r="W796" s="11"/>
      <c r="X796" s="9"/>
      <c r="Y796" s="11"/>
      <c r="Z796" s="11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ht="12.75" customHeight="1">
      <c r="A797" s="9"/>
      <c r="B797" s="9"/>
      <c r="C797" s="10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9"/>
      <c r="S797" s="11"/>
      <c r="T797" s="9"/>
      <c r="U797" s="11"/>
      <c r="V797" s="9"/>
      <c r="W797" s="11"/>
      <c r="X797" s="9"/>
      <c r="Y797" s="11"/>
      <c r="Z797" s="11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ht="12.75" customHeight="1">
      <c r="A798" s="9"/>
      <c r="B798" s="9"/>
      <c r="C798" s="10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9"/>
      <c r="S798" s="11"/>
      <c r="T798" s="9"/>
      <c r="U798" s="11"/>
      <c r="V798" s="9"/>
      <c r="W798" s="11"/>
      <c r="X798" s="9"/>
      <c r="Y798" s="11"/>
      <c r="Z798" s="11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ht="12.75" customHeight="1">
      <c r="A799" s="9"/>
      <c r="B799" s="9"/>
      <c r="C799" s="10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9"/>
      <c r="S799" s="11"/>
      <c r="T799" s="9"/>
      <c r="U799" s="11"/>
      <c r="V799" s="9"/>
      <c r="W799" s="11"/>
      <c r="X799" s="9"/>
      <c r="Y799" s="11"/>
      <c r="Z799" s="11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ht="12.75" customHeight="1">
      <c r="A800" s="9"/>
      <c r="B800" s="9"/>
      <c r="C800" s="10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9"/>
      <c r="S800" s="11"/>
      <c r="T800" s="9"/>
      <c r="U800" s="11"/>
      <c r="V800" s="9"/>
      <c r="W800" s="11"/>
      <c r="X800" s="9"/>
      <c r="Y800" s="11"/>
      <c r="Z800" s="11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ht="12.75" customHeight="1">
      <c r="A801" s="9"/>
      <c r="B801" s="9"/>
      <c r="C801" s="10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9"/>
      <c r="S801" s="11"/>
      <c r="T801" s="9"/>
      <c r="U801" s="11"/>
      <c r="V801" s="9"/>
      <c r="W801" s="11"/>
      <c r="X801" s="9"/>
      <c r="Y801" s="11"/>
      <c r="Z801" s="11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ht="12.75" customHeight="1">
      <c r="A802" s="9"/>
      <c r="B802" s="9"/>
      <c r="C802" s="10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9"/>
      <c r="S802" s="11"/>
      <c r="T802" s="9"/>
      <c r="U802" s="11"/>
      <c r="V802" s="9"/>
      <c r="W802" s="11"/>
      <c r="X802" s="9"/>
      <c r="Y802" s="11"/>
      <c r="Z802" s="11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ht="12.75" customHeight="1">
      <c r="A803" s="9"/>
      <c r="B803" s="9"/>
      <c r="C803" s="10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9"/>
      <c r="S803" s="11"/>
      <c r="T803" s="9"/>
      <c r="U803" s="11"/>
      <c r="V803" s="9"/>
      <c r="W803" s="11"/>
      <c r="X803" s="9"/>
      <c r="Y803" s="11"/>
      <c r="Z803" s="11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ht="12.75" customHeight="1">
      <c r="A804" s="9"/>
      <c r="B804" s="9"/>
      <c r="C804" s="10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9"/>
      <c r="S804" s="11"/>
      <c r="T804" s="9"/>
      <c r="U804" s="11"/>
      <c r="V804" s="9"/>
      <c r="W804" s="11"/>
      <c r="X804" s="9"/>
      <c r="Y804" s="11"/>
      <c r="Z804" s="11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ht="12.75" customHeight="1">
      <c r="A805" s="9"/>
      <c r="B805" s="9"/>
      <c r="C805" s="10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9"/>
      <c r="S805" s="11"/>
      <c r="T805" s="9"/>
      <c r="U805" s="11"/>
      <c r="V805" s="9"/>
      <c r="W805" s="11"/>
      <c r="X805" s="9"/>
      <c r="Y805" s="11"/>
      <c r="Z805" s="11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ht="12.75" customHeight="1">
      <c r="A806" s="9"/>
      <c r="B806" s="9"/>
      <c r="C806" s="10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9"/>
      <c r="S806" s="11"/>
      <c r="T806" s="9"/>
      <c r="U806" s="11"/>
      <c r="V806" s="9"/>
      <c r="W806" s="11"/>
      <c r="X806" s="9"/>
      <c r="Y806" s="11"/>
      <c r="Z806" s="11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ht="12.75" customHeight="1">
      <c r="A807" s="9"/>
      <c r="B807" s="9"/>
      <c r="C807" s="10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9"/>
      <c r="S807" s="11"/>
      <c r="T807" s="9"/>
      <c r="U807" s="11"/>
      <c r="V807" s="9"/>
      <c r="W807" s="11"/>
      <c r="X807" s="9"/>
      <c r="Y807" s="11"/>
      <c r="Z807" s="11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ht="12.75" customHeight="1">
      <c r="A808" s="9"/>
      <c r="B808" s="9"/>
      <c r="C808" s="10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9"/>
      <c r="S808" s="11"/>
      <c r="T808" s="9"/>
      <c r="U808" s="11"/>
      <c r="V808" s="9"/>
      <c r="W808" s="11"/>
      <c r="X808" s="9"/>
      <c r="Y808" s="11"/>
      <c r="Z808" s="11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ht="12.75" customHeight="1">
      <c r="A809" s="9"/>
      <c r="B809" s="9"/>
      <c r="C809" s="10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9"/>
      <c r="S809" s="11"/>
      <c r="T809" s="9"/>
      <c r="U809" s="11"/>
      <c r="V809" s="9"/>
      <c r="W809" s="11"/>
      <c r="X809" s="9"/>
      <c r="Y809" s="11"/>
      <c r="Z809" s="11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ht="12.75" customHeight="1">
      <c r="A810" s="9"/>
      <c r="B810" s="9"/>
      <c r="C810" s="10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9"/>
      <c r="S810" s="11"/>
      <c r="T810" s="9"/>
      <c r="U810" s="11"/>
      <c r="V810" s="9"/>
      <c r="W810" s="11"/>
      <c r="X810" s="9"/>
      <c r="Y810" s="11"/>
      <c r="Z810" s="11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ht="12.75" customHeight="1">
      <c r="A811" s="9"/>
      <c r="B811" s="9"/>
      <c r="C811" s="10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9"/>
      <c r="S811" s="11"/>
      <c r="T811" s="9"/>
      <c r="U811" s="11"/>
      <c r="V811" s="9"/>
      <c r="W811" s="11"/>
      <c r="X811" s="9"/>
      <c r="Y811" s="11"/>
      <c r="Z811" s="11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ht="12.75" customHeight="1">
      <c r="A812" s="9"/>
      <c r="B812" s="9"/>
      <c r="C812" s="10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9"/>
      <c r="S812" s="11"/>
      <c r="T812" s="9"/>
      <c r="U812" s="11"/>
      <c r="V812" s="9"/>
      <c r="W812" s="11"/>
      <c r="X812" s="9"/>
      <c r="Y812" s="11"/>
      <c r="Z812" s="11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ht="12.75" customHeight="1">
      <c r="A813" s="9"/>
      <c r="B813" s="9"/>
      <c r="C813" s="10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9"/>
      <c r="S813" s="11"/>
      <c r="T813" s="9"/>
      <c r="U813" s="11"/>
      <c r="V813" s="9"/>
      <c r="W813" s="11"/>
      <c r="X813" s="9"/>
      <c r="Y813" s="11"/>
      <c r="Z813" s="11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ht="12.75" customHeight="1">
      <c r="A814" s="9"/>
      <c r="B814" s="9"/>
      <c r="C814" s="10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9"/>
      <c r="S814" s="11"/>
      <c r="T814" s="9"/>
      <c r="U814" s="11"/>
      <c r="V814" s="9"/>
      <c r="W814" s="11"/>
      <c r="X814" s="9"/>
      <c r="Y814" s="11"/>
      <c r="Z814" s="11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ht="12.75" customHeight="1">
      <c r="A815" s="9"/>
      <c r="B815" s="9"/>
      <c r="C815" s="10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9"/>
      <c r="S815" s="11"/>
      <c r="T815" s="9"/>
      <c r="U815" s="11"/>
      <c r="V815" s="9"/>
      <c r="W815" s="11"/>
      <c r="X815" s="9"/>
      <c r="Y815" s="11"/>
      <c r="Z815" s="11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ht="12.75" customHeight="1">
      <c r="A816" s="9"/>
      <c r="B816" s="9"/>
      <c r="C816" s="10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9"/>
      <c r="S816" s="11"/>
      <c r="T816" s="9"/>
      <c r="U816" s="11"/>
      <c r="V816" s="9"/>
      <c r="W816" s="11"/>
      <c r="X816" s="9"/>
      <c r="Y816" s="11"/>
      <c r="Z816" s="11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ht="12.75" customHeight="1">
      <c r="A817" s="9"/>
      <c r="B817" s="9"/>
      <c r="C817" s="10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9"/>
      <c r="S817" s="11"/>
      <c r="T817" s="9"/>
      <c r="U817" s="11"/>
      <c r="V817" s="9"/>
      <c r="W817" s="11"/>
      <c r="X817" s="9"/>
      <c r="Y817" s="11"/>
      <c r="Z817" s="11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ht="12.75" customHeight="1">
      <c r="A818" s="9"/>
      <c r="B818" s="9"/>
      <c r="C818" s="10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9"/>
      <c r="S818" s="11"/>
      <c r="T818" s="9"/>
      <c r="U818" s="11"/>
      <c r="V818" s="9"/>
      <c r="W818" s="11"/>
      <c r="X818" s="9"/>
      <c r="Y818" s="11"/>
      <c r="Z818" s="11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ht="12.75" customHeight="1">
      <c r="A819" s="9"/>
      <c r="B819" s="9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9"/>
      <c r="S819" s="11"/>
      <c r="T819" s="9"/>
      <c r="U819" s="11"/>
      <c r="V819" s="9"/>
      <c r="W819" s="11"/>
      <c r="X819" s="9"/>
      <c r="Y819" s="11"/>
      <c r="Z819" s="11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ht="12.75" customHeight="1">
      <c r="A820" s="9"/>
      <c r="B820" s="9"/>
      <c r="C820" s="10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9"/>
      <c r="S820" s="11"/>
      <c r="T820" s="9"/>
      <c r="U820" s="11"/>
      <c r="V820" s="9"/>
      <c r="W820" s="11"/>
      <c r="X820" s="9"/>
      <c r="Y820" s="11"/>
      <c r="Z820" s="11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ht="12.75" customHeight="1">
      <c r="A821" s="9"/>
      <c r="B821" s="9"/>
      <c r="C821" s="10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9"/>
      <c r="S821" s="11"/>
      <c r="T821" s="9"/>
      <c r="U821" s="11"/>
      <c r="V821" s="9"/>
      <c r="W821" s="11"/>
      <c r="X821" s="9"/>
      <c r="Y821" s="11"/>
      <c r="Z821" s="11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ht="12.75" customHeight="1">
      <c r="A822" s="9"/>
      <c r="B822" s="9"/>
      <c r="C822" s="10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9"/>
      <c r="S822" s="11"/>
      <c r="T822" s="9"/>
      <c r="U822" s="11"/>
      <c r="V822" s="9"/>
      <c r="W822" s="11"/>
      <c r="X822" s="9"/>
      <c r="Y822" s="11"/>
      <c r="Z822" s="11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ht="12.75" customHeight="1">
      <c r="A823" s="9"/>
      <c r="B823" s="9"/>
      <c r="C823" s="10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9"/>
      <c r="S823" s="11"/>
      <c r="T823" s="9"/>
      <c r="U823" s="11"/>
      <c r="V823" s="9"/>
      <c r="W823" s="11"/>
      <c r="X823" s="9"/>
      <c r="Y823" s="11"/>
      <c r="Z823" s="11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ht="12.75" customHeight="1">
      <c r="A824" s="9"/>
      <c r="B824" s="9"/>
      <c r="C824" s="10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9"/>
      <c r="S824" s="11"/>
      <c r="T824" s="9"/>
      <c r="U824" s="11"/>
      <c r="V824" s="9"/>
      <c r="W824" s="11"/>
      <c r="X824" s="9"/>
      <c r="Y824" s="11"/>
      <c r="Z824" s="11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ht="12.75" customHeight="1">
      <c r="A825" s="9"/>
      <c r="B825" s="9"/>
      <c r="C825" s="10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9"/>
      <c r="S825" s="11"/>
      <c r="T825" s="9"/>
      <c r="U825" s="11"/>
      <c r="V825" s="9"/>
      <c r="W825" s="11"/>
      <c r="X825" s="9"/>
      <c r="Y825" s="11"/>
      <c r="Z825" s="11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ht="12.75" customHeight="1">
      <c r="A826" s="9"/>
      <c r="B826" s="9"/>
      <c r="C826" s="10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9"/>
      <c r="S826" s="11"/>
      <c r="T826" s="9"/>
      <c r="U826" s="11"/>
      <c r="V826" s="9"/>
      <c r="W826" s="11"/>
      <c r="X826" s="9"/>
      <c r="Y826" s="11"/>
      <c r="Z826" s="11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ht="12.75" customHeight="1">
      <c r="A827" s="9"/>
      <c r="B827" s="9"/>
      <c r="C827" s="10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9"/>
      <c r="S827" s="11"/>
      <c r="T827" s="9"/>
      <c r="U827" s="11"/>
      <c r="V827" s="9"/>
      <c r="W827" s="11"/>
      <c r="X827" s="9"/>
      <c r="Y827" s="11"/>
      <c r="Z827" s="11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ht="12.75" customHeight="1">
      <c r="A828" s="9"/>
      <c r="B828" s="9"/>
      <c r="C828" s="10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9"/>
      <c r="S828" s="11"/>
      <c r="T828" s="9"/>
      <c r="U828" s="11"/>
      <c r="V828" s="9"/>
      <c r="W828" s="11"/>
      <c r="X828" s="9"/>
      <c r="Y828" s="11"/>
      <c r="Z828" s="11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ht="12.75" customHeight="1">
      <c r="A829" s="9"/>
      <c r="B829" s="9"/>
      <c r="C829" s="10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9"/>
      <c r="S829" s="11"/>
      <c r="T829" s="9"/>
      <c r="U829" s="11"/>
      <c r="V829" s="9"/>
      <c r="W829" s="11"/>
      <c r="X829" s="9"/>
      <c r="Y829" s="11"/>
      <c r="Z829" s="11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ht="12.75" customHeight="1">
      <c r="A830" s="9"/>
      <c r="B830" s="9"/>
      <c r="C830" s="10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9"/>
      <c r="S830" s="11"/>
      <c r="T830" s="9"/>
      <c r="U830" s="11"/>
      <c r="V830" s="9"/>
      <c r="W830" s="11"/>
      <c r="X830" s="9"/>
      <c r="Y830" s="11"/>
      <c r="Z830" s="11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ht="12.75" customHeight="1">
      <c r="A831" s="9"/>
      <c r="B831" s="9"/>
      <c r="C831" s="10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9"/>
      <c r="S831" s="11"/>
      <c r="T831" s="9"/>
      <c r="U831" s="11"/>
      <c r="V831" s="9"/>
      <c r="W831" s="11"/>
      <c r="X831" s="9"/>
      <c r="Y831" s="11"/>
      <c r="Z831" s="11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ht="12.75" customHeight="1">
      <c r="A832" s="9"/>
      <c r="B832" s="9"/>
      <c r="C832" s="10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9"/>
      <c r="S832" s="11"/>
      <c r="T832" s="9"/>
      <c r="U832" s="11"/>
      <c r="V832" s="9"/>
      <c r="W832" s="11"/>
      <c r="X832" s="9"/>
      <c r="Y832" s="11"/>
      <c r="Z832" s="11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ht="12.75" customHeight="1">
      <c r="A833" s="9"/>
      <c r="B833" s="9"/>
      <c r="C833" s="10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9"/>
      <c r="S833" s="11"/>
      <c r="T833" s="9"/>
      <c r="U833" s="11"/>
      <c r="V833" s="9"/>
      <c r="W833" s="11"/>
      <c r="X833" s="9"/>
      <c r="Y833" s="11"/>
      <c r="Z833" s="11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ht="12.75" customHeight="1">
      <c r="A834" s="9"/>
      <c r="B834" s="9"/>
      <c r="C834" s="10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9"/>
      <c r="S834" s="11"/>
      <c r="T834" s="9"/>
      <c r="U834" s="11"/>
      <c r="V834" s="9"/>
      <c r="W834" s="11"/>
      <c r="X834" s="9"/>
      <c r="Y834" s="11"/>
      <c r="Z834" s="11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ht="12.75" customHeight="1">
      <c r="A835" s="9"/>
      <c r="B835" s="9"/>
      <c r="C835" s="10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9"/>
      <c r="S835" s="11"/>
      <c r="T835" s="9"/>
      <c r="U835" s="11"/>
      <c r="V835" s="9"/>
      <c r="W835" s="11"/>
      <c r="X835" s="9"/>
      <c r="Y835" s="11"/>
      <c r="Z835" s="11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ht="12.75" customHeight="1">
      <c r="A836" s="9"/>
      <c r="B836" s="9"/>
      <c r="C836" s="10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9"/>
      <c r="S836" s="11"/>
      <c r="T836" s="9"/>
      <c r="U836" s="11"/>
      <c r="V836" s="9"/>
      <c r="W836" s="11"/>
      <c r="X836" s="9"/>
      <c r="Y836" s="11"/>
      <c r="Z836" s="11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ht="12.75" customHeight="1">
      <c r="A837" s="9"/>
      <c r="B837" s="9"/>
      <c r="C837" s="10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9"/>
      <c r="S837" s="11"/>
      <c r="T837" s="9"/>
      <c r="U837" s="11"/>
      <c r="V837" s="9"/>
      <c r="W837" s="11"/>
      <c r="X837" s="9"/>
      <c r="Y837" s="11"/>
      <c r="Z837" s="11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ht="12.75" customHeight="1">
      <c r="A838" s="9"/>
      <c r="B838" s="9"/>
      <c r="C838" s="10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9"/>
      <c r="S838" s="11"/>
      <c r="T838" s="9"/>
      <c r="U838" s="11"/>
      <c r="V838" s="9"/>
      <c r="W838" s="11"/>
      <c r="X838" s="9"/>
      <c r="Y838" s="11"/>
      <c r="Z838" s="11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ht="12.75" customHeight="1">
      <c r="A839" s="9"/>
      <c r="B839" s="9"/>
      <c r="C839" s="10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9"/>
      <c r="S839" s="11"/>
      <c r="T839" s="9"/>
      <c r="U839" s="11"/>
      <c r="V839" s="9"/>
      <c r="W839" s="11"/>
      <c r="X839" s="9"/>
      <c r="Y839" s="11"/>
      <c r="Z839" s="11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ht="12.75" customHeight="1">
      <c r="A840" s="9"/>
      <c r="B840" s="9"/>
      <c r="C840" s="10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9"/>
      <c r="S840" s="11"/>
      <c r="T840" s="9"/>
      <c r="U840" s="11"/>
      <c r="V840" s="9"/>
      <c r="W840" s="11"/>
      <c r="X840" s="9"/>
      <c r="Y840" s="11"/>
      <c r="Z840" s="11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ht="12.75" customHeight="1">
      <c r="A841" s="9"/>
      <c r="B841" s="9"/>
      <c r="C841" s="10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9"/>
      <c r="S841" s="11"/>
      <c r="T841" s="9"/>
      <c r="U841" s="11"/>
      <c r="V841" s="9"/>
      <c r="W841" s="11"/>
      <c r="X841" s="9"/>
      <c r="Y841" s="11"/>
      <c r="Z841" s="11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ht="12.75" customHeight="1">
      <c r="A842" s="9"/>
      <c r="B842" s="9"/>
      <c r="C842" s="10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9"/>
      <c r="S842" s="11"/>
      <c r="T842" s="9"/>
      <c r="U842" s="11"/>
      <c r="V842" s="9"/>
      <c r="W842" s="11"/>
      <c r="X842" s="9"/>
      <c r="Y842" s="11"/>
      <c r="Z842" s="11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ht="12.75" customHeight="1">
      <c r="A843" s="9"/>
      <c r="B843" s="9"/>
      <c r="C843" s="10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9"/>
      <c r="S843" s="11"/>
      <c r="T843" s="9"/>
      <c r="U843" s="11"/>
      <c r="V843" s="9"/>
      <c r="W843" s="11"/>
      <c r="X843" s="9"/>
      <c r="Y843" s="11"/>
      <c r="Z843" s="11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ht="12.75" customHeight="1">
      <c r="A844" s="9"/>
      <c r="B844" s="9"/>
      <c r="C844" s="10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9"/>
      <c r="S844" s="11"/>
      <c r="T844" s="9"/>
      <c r="U844" s="11"/>
      <c r="V844" s="9"/>
      <c r="W844" s="11"/>
      <c r="X844" s="9"/>
      <c r="Y844" s="11"/>
      <c r="Z844" s="11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ht="12.75" customHeight="1">
      <c r="A845" s="9"/>
      <c r="B845" s="9"/>
      <c r="C845" s="10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9"/>
      <c r="S845" s="11"/>
      <c r="T845" s="9"/>
      <c r="U845" s="11"/>
      <c r="V845" s="9"/>
      <c r="W845" s="11"/>
      <c r="X845" s="9"/>
      <c r="Y845" s="11"/>
      <c r="Z845" s="11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ht="12.75" customHeight="1">
      <c r="A846" s="9"/>
      <c r="B846" s="9"/>
      <c r="C846" s="10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9"/>
      <c r="S846" s="11"/>
      <c r="T846" s="9"/>
      <c r="U846" s="11"/>
      <c r="V846" s="9"/>
      <c r="W846" s="11"/>
      <c r="X846" s="9"/>
      <c r="Y846" s="11"/>
      <c r="Z846" s="11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ht="12.75" customHeight="1">
      <c r="A847" s="9"/>
      <c r="B847" s="9"/>
      <c r="C847" s="10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9"/>
      <c r="S847" s="11"/>
      <c r="T847" s="9"/>
      <c r="U847" s="11"/>
      <c r="V847" s="9"/>
      <c r="W847" s="11"/>
      <c r="X847" s="9"/>
      <c r="Y847" s="11"/>
      <c r="Z847" s="11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ht="12.75" customHeight="1">
      <c r="A848" s="9"/>
      <c r="B848" s="9"/>
      <c r="C848" s="10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9"/>
      <c r="S848" s="11"/>
      <c r="T848" s="9"/>
      <c r="U848" s="11"/>
      <c r="V848" s="9"/>
      <c r="W848" s="11"/>
      <c r="X848" s="9"/>
      <c r="Y848" s="11"/>
      <c r="Z848" s="11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ht="12.75" customHeight="1">
      <c r="A849" s="9"/>
      <c r="B849" s="9"/>
      <c r="C849" s="10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9"/>
      <c r="S849" s="11"/>
      <c r="T849" s="9"/>
      <c r="U849" s="11"/>
      <c r="V849" s="9"/>
      <c r="W849" s="11"/>
      <c r="X849" s="9"/>
      <c r="Y849" s="11"/>
      <c r="Z849" s="11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ht="12.75" customHeight="1">
      <c r="A850" s="9"/>
      <c r="B850" s="9"/>
      <c r="C850" s="10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9"/>
      <c r="S850" s="11"/>
      <c r="T850" s="9"/>
      <c r="U850" s="11"/>
      <c r="V850" s="9"/>
      <c r="W850" s="11"/>
      <c r="X850" s="9"/>
      <c r="Y850" s="11"/>
      <c r="Z850" s="11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ht="12.75" customHeight="1">
      <c r="A851" s="9"/>
      <c r="B851" s="9"/>
      <c r="C851" s="10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9"/>
      <c r="S851" s="11"/>
      <c r="T851" s="9"/>
      <c r="U851" s="11"/>
      <c r="V851" s="9"/>
      <c r="W851" s="11"/>
      <c r="X851" s="9"/>
      <c r="Y851" s="11"/>
      <c r="Z851" s="11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ht="12.75" customHeight="1">
      <c r="A852" s="9"/>
      <c r="B852" s="9"/>
      <c r="C852" s="10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9"/>
      <c r="S852" s="11"/>
      <c r="T852" s="9"/>
      <c r="U852" s="11"/>
      <c r="V852" s="9"/>
      <c r="W852" s="11"/>
      <c r="X852" s="9"/>
      <c r="Y852" s="11"/>
      <c r="Z852" s="11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ht="12.75" customHeight="1">
      <c r="A853" s="9"/>
      <c r="B853" s="9"/>
      <c r="C853" s="10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9"/>
      <c r="S853" s="11"/>
      <c r="T853" s="9"/>
      <c r="U853" s="11"/>
      <c r="V853" s="9"/>
      <c r="W853" s="11"/>
      <c r="X853" s="9"/>
      <c r="Y853" s="11"/>
      <c r="Z853" s="11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ht="12.75" customHeight="1">
      <c r="A854" s="9"/>
      <c r="B854" s="9"/>
      <c r="C854" s="10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9"/>
      <c r="S854" s="11"/>
      <c r="T854" s="9"/>
      <c r="U854" s="11"/>
      <c r="V854" s="9"/>
      <c r="W854" s="11"/>
      <c r="X854" s="9"/>
      <c r="Y854" s="11"/>
      <c r="Z854" s="11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ht="12.75" customHeight="1">
      <c r="A855" s="9"/>
      <c r="B855" s="9"/>
      <c r="C855" s="10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9"/>
      <c r="S855" s="11"/>
      <c r="T855" s="9"/>
      <c r="U855" s="11"/>
      <c r="V855" s="9"/>
      <c r="W855" s="11"/>
      <c r="X855" s="9"/>
      <c r="Y855" s="11"/>
      <c r="Z855" s="11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ht="12.75" customHeight="1">
      <c r="A856" s="9"/>
      <c r="B856" s="9"/>
      <c r="C856" s="10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9"/>
      <c r="S856" s="11"/>
      <c r="T856" s="9"/>
      <c r="U856" s="11"/>
      <c r="V856" s="9"/>
      <c r="W856" s="11"/>
      <c r="X856" s="9"/>
      <c r="Y856" s="11"/>
      <c r="Z856" s="11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ht="12.75" customHeight="1">
      <c r="A857" s="9"/>
      <c r="B857" s="9"/>
      <c r="C857" s="10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9"/>
      <c r="S857" s="11"/>
      <c r="T857" s="9"/>
      <c r="U857" s="11"/>
      <c r="V857" s="9"/>
      <c r="W857" s="11"/>
      <c r="X857" s="9"/>
      <c r="Y857" s="11"/>
      <c r="Z857" s="11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ht="12.75" customHeight="1">
      <c r="A858" s="9"/>
      <c r="B858" s="9"/>
      <c r="C858" s="10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9"/>
      <c r="S858" s="11"/>
      <c r="T858" s="9"/>
      <c r="U858" s="11"/>
      <c r="V858" s="9"/>
      <c r="W858" s="11"/>
      <c r="X858" s="9"/>
      <c r="Y858" s="11"/>
      <c r="Z858" s="11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ht="12.75" customHeight="1">
      <c r="A859" s="9"/>
      <c r="B859" s="9"/>
      <c r="C859" s="10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9"/>
      <c r="S859" s="11"/>
      <c r="T859" s="9"/>
      <c r="U859" s="11"/>
      <c r="V859" s="9"/>
      <c r="W859" s="11"/>
      <c r="X859" s="9"/>
      <c r="Y859" s="11"/>
      <c r="Z859" s="11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ht="12.75" customHeight="1">
      <c r="A860" s="9"/>
      <c r="B860" s="9"/>
      <c r="C860" s="10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9"/>
      <c r="S860" s="11"/>
      <c r="T860" s="9"/>
      <c r="U860" s="11"/>
      <c r="V860" s="9"/>
      <c r="W860" s="11"/>
      <c r="X860" s="9"/>
      <c r="Y860" s="11"/>
      <c r="Z860" s="11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ht="12.75" customHeight="1">
      <c r="A861" s="9"/>
      <c r="B861" s="9"/>
      <c r="C861" s="10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9"/>
      <c r="S861" s="11"/>
      <c r="T861" s="9"/>
      <c r="U861" s="11"/>
      <c r="V861" s="9"/>
      <c r="W861" s="11"/>
      <c r="X861" s="9"/>
      <c r="Y861" s="11"/>
      <c r="Z861" s="11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ht="12.75" customHeight="1">
      <c r="A862" s="9"/>
      <c r="B862" s="9"/>
      <c r="C862" s="10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9"/>
      <c r="S862" s="11"/>
      <c r="T862" s="9"/>
      <c r="U862" s="11"/>
      <c r="V862" s="9"/>
      <c r="W862" s="11"/>
      <c r="X862" s="9"/>
      <c r="Y862" s="11"/>
      <c r="Z862" s="11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ht="12.75" customHeight="1">
      <c r="A863" s="9"/>
      <c r="B863" s="9"/>
      <c r="C863" s="10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9"/>
      <c r="S863" s="11"/>
      <c r="T863" s="9"/>
      <c r="U863" s="11"/>
      <c r="V863" s="9"/>
      <c r="W863" s="11"/>
      <c r="X863" s="9"/>
      <c r="Y863" s="11"/>
      <c r="Z863" s="11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ht="12.75" customHeight="1">
      <c r="A864" s="9"/>
      <c r="B864" s="9"/>
      <c r="C864" s="10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9"/>
      <c r="S864" s="11"/>
      <c r="T864" s="9"/>
      <c r="U864" s="11"/>
      <c r="V864" s="9"/>
      <c r="W864" s="11"/>
      <c r="X864" s="9"/>
      <c r="Y864" s="11"/>
      <c r="Z864" s="11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ht="12.75" customHeight="1">
      <c r="A865" s="9"/>
      <c r="B865" s="9"/>
      <c r="C865" s="10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9"/>
      <c r="S865" s="11"/>
      <c r="T865" s="9"/>
      <c r="U865" s="11"/>
      <c r="V865" s="9"/>
      <c r="W865" s="11"/>
      <c r="X865" s="9"/>
      <c r="Y865" s="11"/>
      <c r="Z865" s="11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ht="12.75" customHeight="1">
      <c r="A866" s="9"/>
      <c r="B866" s="9"/>
      <c r="C866" s="10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9"/>
      <c r="S866" s="11"/>
      <c r="T866" s="9"/>
      <c r="U866" s="11"/>
      <c r="V866" s="9"/>
      <c r="W866" s="11"/>
      <c r="X866" s="9"/>
      <c r="Y866" s="11"/>
      <c r="Z866" s="11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ht="12.75" customHeight="1">
      <c r="A867" s="9"/>
      <c r="B867" s="9"/>
      <c r="C867" s="10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9"/>
      <c r="S867" s="11"/>
      <c r="T867" s="9"/>
      <c r="U867" s="11"/>
      <c r="V867" s="9"/>
      <c r="W867" s="11"/>
      <c r="X867" s="9"/>
      <c r="Y867" s="11"/>
      <c r="Z867" s="11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ht="12.75" customHeight="1">
      <c r="A868" s="9"/>
      <c r="B868" s="9"/>
      <c r="C868" s="10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9"/>
      <c r="S868" s="11"/>
      <c r="T868" s="9"/>
      <c r="U868" s="11"/>
      <c r="V868" s="9"/>
      <c r="W868" s="11"/>
      <c r="X868" s="9"/>
      <c r="Y868" s="11"/>
      <c r="Z868" s="11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ht="12.75" customHeight="1">
      <c r="A869" s="9"/>
      <c r="B869" s="9"/>
      <c r="C869" s="10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9"/>
      <c r="S869" s="11"/>
      <c r="T869" s="9"/>
      <c r="U869" s="11"/>
      <c r="V869" s="9"/>
      <c r="W869" s="11"/>
      <c r="X869" s="9"/>
      <c r="Y869" s="11"/>
      <c r="Z869" s="11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ht="12.75" customHeight="1">
      <c r="A870" s="9"/>
      <c r="B870" s="9"/>
      <c r="C870" s="10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9"/>
      <c r="S870" s="11"/>
      <c r="T870" s="9"/>
      <c r="U870" s="11"/>
      <c r="V870" s="9"/>
      <c r="W870" s="11"/>
      <c r="X870" s="9"/>
      <c r="Y870" s="11"/>
      <c r="Z870" s="11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ht="12.75" customHeight="1">
      <c r="A871" s="9"/>
      <c r="B871" s="9"/>
      <c r="C871" s="10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9"/>
      <c r="S871" s="11"/>
      <c r="T871" s="9"/>
      <c r="U871" s="11"/>
      <c r="V871" s="9"/>
      <c r="W871" s="11"/>
      <c r="X871" s="9"/>
      <c r="Y871" s="11"/>
      <c r="Z871" s="11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ht="12.75" customHeight="1">
      <c r="A872" s="9"/>
      <c r="B872" s="9"/>
      <c r="C872" s="10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9"/>
      <c r="S872" s="11"/>
      <c r="T872" s="9"/>
      <c r="U872" s="11"/>
      <c r="V872" s="9"/>
      <c r="W872" s="11"/>
      <c r="X872" s="9"/>
      <c r="Y872" s="11"/>
      <c r="Z872" s="11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ht="12.75" customHeight="1">
      <c r="A873" s="9"/>
      <c r="B873" s="9"/>
      <c r="C873" s="10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9"/>
      <c r="S873" s="11"/>
      <c r="T873" s="9"/>
      <c r="U873" s="11"/>
      <c r="V873" s="9"/>
      <c r="W873" s="11"/>
      <c r="X873" s="9"/>
      <c r="Y873" s="11"/>
      <c r="Z873" s="11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ht="12.75" customHeight="1">
      <c r="A874" s="9"/>
      <c r="B874" s="9"/>
      <c r="C874" s="10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9"/>
      <c r="S874" s="11"/>
      <c r="T874" s="9"/>
      <c r="U874" s="11"/>
      <c r="V874" s="9"/>
      <c r="W874" s="11"/>
      <c r="X874" s="9"/>
      <c r="Y874" s="11"/>
      <c r="Z874" s="11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ht="12.75" customHeight="1">
      <c r="A875" s="9"/>
      <c r="B875" s="9"/>
      <c r="C875" s="10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9"/>
      <c r="S875" s="11"/>
      <c r="T875" s="9"/>
      <c r="U875" s="11"/>
      <c r="V875" s="9"/>
      <c r="W875" s="11"/>
      <c r="X875" s="9"/>
      <c r="Y875" s="11"/>
      <c r="Z875" s="11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ht="12.75" customHeight="1">
      <c r="A876" s="9"/>
      <c r="B876" s="9"/>
      <c r="C876" s="10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9"/>
      <c r="S876" s="11"/>
      <c r="T876" s="9"/>
      <c r="U876" s="11"/>
      <c r="V876" s="9"/>
      <c r="W876" s="11"/>
      <c r="X876" s="9"/>
      <c r="Y876" s="11"/>
      <c r="Z876" s="11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ht="12.75" customHeight="1">
      <c r="A877" s="9"/>
      <c r="B877" s="9"/>
      <c r="C877" s="10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9"/>
      <c r="S877" s="11"/>
      <c r="T877" s="9"/>
      <c r="U877" s="11"/>
      <c r="V877" s="9"/>
      <c r="W877" s="11"/>
      <c r="X877" s="9"/>
      <c r="Y877" s="11"/>
      <c r="Z877" s="11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ht="12.75" customHeight="1">
      <c r="A878" s="9"/>
      <c r="B878" s="9"/>
      <c r="C878" s="10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9"/>
      <c r="S878" s="11"/>
      <c r="T878" s="9"/>
      <c r="U878" s="11"/>
      <c r="V878" s="9"/>
      <c r="W878" s="11"/>
      <c r="X878" s="9"/>
      <c r="Y878" s="11"/>
      <c r="Z878" s="11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ht="12.75" customHeight="1">
      <c r="A879" s="9"/>
      <c r="B879" s="9"/>
      <c r="C879" s="10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9"/>
      <c r="S879" s="11"/>
      <c r="T879" s="9"/>
      <c r="U879" s="11"/>
      <c r="V879" s="9"/>
      <c r="W879" s="11"/>
      <c r="X879" s="9"/>
      <c r="Y879" s="11"/>
      <c r="Z879" s="11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ht="12.75" customHeight="1">
      <c r="A880" s="9"/>
      <c r="B880" s="9"/>
      <c r="C880" s="10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9"/>
      <c r="S880" s="11"/>
      <c r="T880" s="9"/>
      <c r="U880" s="11"/>
      <c r="V880" s="9"/>
      <c r="W880" s="11"/>
      <c r="X880" s="9"/>
      <c r="Y880" s="11"/>
      <c r="Z880" s="11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ht="12.75" customHeight="1">
      <c r="A881" s="9"/>
      <c r="B881" s="9"/>
      <c r="C881" s="10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9"/>
      <c r="S881" s="11"/>
      <c r="T881" s="9"/>
      <c r="U881" s="11"/>
      <c r="V881" s="9"/>
      <c r="W881" s="11"/>
      <c r="X881" s="9"/>
      <c r="Y881" s="11"/>
      <c r="Z881" s="11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ht="12.75" customHeight="1">
      <c r="A882" s="9"/>
      <c r="B882" s="9"/>
      <c r="C882" s="10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9"/>
      <c r="S882" s="11"/>
      <c r="T882" s="9"/>
      <c r="U882" s="11"/>
      <c r="V882" s="9"/>
      <c r="W882" s="11"/>
      <c r="X882" s="9"/>
      <c r="Y882" s="11"/>
      <c r="Z882" s="11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ht="12.75" customHeight="1">
      <c r="A883" s="9"/>
      <c r="B883" s="9"/>
      <c r="C883" s="10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9"/>
      <c r="S883" s="11"/>
      <c r="T883" s="9"/>
      <c r="U883" s="11"/>
      <c r="V883" s="9"/>
      <c r="W883" s="11"/>
      <c r="X883" s="9"/>
      <c r="Y883" s="11"/>
      <c r="Z883" s="11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ht="12.75" customHeight="1">
      <c r="A884" s="9"/>
      <c r="B884" s="9"/>
      <c r="C884" s="10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9"/>
      <c r="S884" s="11"/>
      <c r="T884" s="9"/>
      <c r="U884" s="11"/>
      <c r="V884" s="9"/>
      <c r="W884" s="11"/>
      <c r="X884" s="9"/>
      <c r="Y884" s="11"/>
      <c r="Z884" s="11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ht="12.75" customHeight="1">
      <c r="A885" s="9"/>
      <c r="B885" s="9"/>
      <c r="C885" s="10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9"/>
      <c r="S885" s="11"/>
      <c r="T885" s="9"/>
      <c r="U885" s="11"/>
      <c r="V885" s="9"/>
      <c r="W885" s="11"/>
      <c r="X885" s="9"/>
      <c r="Y885" s="11"/>
      <c r="Z885" s="11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ht="12.75" customHeight="1">
      <c r="A886" s="9"/>
      <c r="B886" s="9"/>
      <c r="C886" s="10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9"/>
      <c r="S886" s="11"/>
      <c r="T886" s="9"/>
      <c r="U886" s="11"/>
      <c r="V886" s="9"/>
      <c r="W886" s="11"/>
      <c r="X886" s="9"/>
      <c r="Y886" s="11"/>
      <c r="Z886" s="11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ht="12.75" customHeight="1">
      <c r="A887" s="9"/>
      <c r="B887" s="9"/>
      <c r="C887" s="10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9"/>
      <c r="S887" s="11"/>
      <c r="T887" s="9"/>
      <c r="U887" s="11"/>
      <c r="V887" s="9"/>
      <c r="W887" s="11"/>
      <c r="X887" s="9"/>
      <c r="Y887" s="11"/>
      <c r="Z887" s="11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ht="12.75" customHeight="1">
      <c r="A888" s="9"/>
      <c r="B888" s="9"/>
      <c r="C888" s="10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9"/>
      <c r="S888" s="11"/>
      <c r="T888" s="9"/>
      <c r="U888" s="11"/>
      <c r="V888" s="9"/>
      <c r="W888" s="11"/>
      <c r="X888" s="9"/>
      <c r="Y888" s="11"/>
      <c r="Z888" s="11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ht="12.75" customHeight="1">
      <c r="A889" s="9"/>
      <c r="B889" s="9"/>
      <c r="C889" s="10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9"/>
      <c r="S889" s="11"/>
      <c r="T889" s="9"/>
      <c r="U889" s="11"/>
      <c r="V889" s="9"/>
      <c r="W889" s="11"/>
      <c r="X889" s="9"/>
      <c r="Y889" s="11"/>
      <c r="Z889" s="11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ht="12.75" customHeight="1">
      <c r="A890" s="9"/>
      <c r="B890" s="9"/>
      <c r="C890" s="10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9"/>
      <c r="S890" s="11"/>
      <c r="T890" s="9"/>
      <c r="U890" s="11"/>
      <c r="V890" s="9"/>
      <c r="W890" s="11"/>
      <c r="X890" s="9"/>
      <c r="Y890" s="11"/>
      <c r="Z890" s="11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ht="12.75" customHeight="1">
      <c r="A891" s="9"/>
      <c r="B891" s="9"/>
      <c r="C891" s="10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9"/>
      <c r="S891" s="11"/>
      <c r="T891" s="9"/>
      <c r="U891" s="11"/>
      <c r="V891" s="9"/>
      <c r="W891" s="11"/>
      <c r="X891" s="9"/>
      <c r="Y891" s="11"/>
      <c r="Z891" s="11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ht="12.75" customHeight="1">
      <c r="A892" s="9"/>
      <c r="B892" s="9"/>
      <c r="C892" s="10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9"/>
      <c r="S892" s="11"/>
      <c r="T892" s="9"/>
      <c r="U892" s="11"/>
      <c r="V892" s="9"/>
      <c r="W892" s="11"/>
      <c r="X892" s="9"/>
      <c r="Y892" s="11"/>
      <c r="Z892" s="11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ht="12.75" customHeight="1">
      <c r="A893" s="9"/>
      <c r="B893" s="9"/>
      <c r="C893" s="10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9"/>
      <c r="S893" s="11"/>
      <c r="T893" s="9"/>
      <c r="U893" s="11"/>
      <c r="V893" s="9"/>
      <c r="W893" s="11"/>
      <c r="X893" s="9"/>
      <c r="Y893" s="11"/>
      <c r="Z893" s="11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ht="12.75" customHeight="1">
      <c r="A894" s="9"/>
      <c r="B894" s="9"/>
      <c r="C894" s="10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9"/>
      <c r="S894" s="11"/>
      <c r="T894" s="9"/>
      <c r="U894" s="11"/>
      <c r="V894" s="9"/>
      <c r="W894" s="11"/>
      <c r="X894" s="9"/>
      <c r="Y894" s="11"/>
      <c r="Z894" s="11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ht="12.75" customHeight="1">
      <c r="A895" s="9"/>
      <c r="B895" s="9"/>
      <c r="C895" s="10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9"/>
      <c r="S895" s="11"/>
      <c r="T895" s="9"/>
      <c r="U895" s="11"/>
      <c r="V895" s="9"/>
      <c r="W895" s="11"/>
      <c r="X895" s="9"/>
      <c r="Y895" s="11"/>
      <c r="Z895" s="11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ht="12.75" customHeight="1">
      <c r="A896" s="9"/>
      <c r="B896" s="9"/>
      <c r="C896" s="10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9"/>
      <c r="S896" s="11"/>
      <c r="T896" s="9"/>
      <c r="U896" s="11"/>
      <c r="V896" s="9"/>
      <c r="W896" s="11"/>
      <c r="X896" s="9"/>
      <c r="Y896" s="11"/>
      <c r="Z896" s="11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ht="12.75" customHeight="1">
      <c r="A897" s="9"/>
      <c r="B897" s="9"/>
      <c r="C897" s="10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9"/>
      <c r="S897" s="11"/>
      <c r="T897" s="9"/>
      <c r="U897" s="11"/>
      <c r="V897" s="9"/>
      <c r="W897" s="11"/>
      <c r="X897" s="9"/>
      <c r="Y897" s="11"/>
      <c r="Z897" s="11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ht="12.75" customHeight="1">
      <c r="A898" s="9"/>
      <c r="B898" s="9"/>
      <c r="C898" s="10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9"/>
      <c r="S898" s="11"/>
      <c r="T898" s="9"/>
      <c r="U898" s="11"/>
      <c r="V898" s="9"/>
      <c r="W898" s="11"/>
      <c r="X898" s="9"/>
      <c r="Y898" s="11"/>
      <c r="Z898" s="11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ht="12.75" customHeight="1">
      <c r="A899" s="9"/>
      <c r="B899" s="9"/>
      <c r="C899" s="10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9"/>
      <c r="S899" s="11"/>
      <c r="T899" s="9"/>
      <c r="U899" s="11"/>
      <c r="V899" s="9"/>
      <c r="W899" s="11"/>
      <c r="X899" s="9"/>
      <c r="Y899" s="11"/>
      <c r="Z899" s="11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ht="12.75" customHeight="1">
      <c r="A900" s="9"/>
      <c r="B900" s="9"/>
      <c r="C900" s="10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9"/>
      <c r="S900" s="11"/>
      <c r="T900" s="9"/>
      <c r="U900" s="11"/>
      <c r="V900" s="9"/>
      <c r="W900" s="11"/>
      <c r="X900" s="9"/>
      <c r="Y900" s="11"/>
      <c r="Z900" s="11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ht="12.75" customHeight="1">
      <c r="A901" s="9"/>
      <c r="B901" s="9"/>
      <c r="C901" s="10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9"/>
      <c r="S901" s="11"/>
      <c r="T901" s="9"/>
      <c r="U901" s="11"/>
      <c r="V901" s="9"/>
      <c r="W901" s="11"/>
      <c r="X901" s="9"/>
      <c r="Y901" s="11"/>
      <c r="Z901" s="11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ht="12.75" customHeight="1">
      <c r="A902" s="9"/>
      <c r="B902" s="9"/>
      <c r="C902" s="10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9"/>
      <c r="S902" s="11"/>
      <c r="T902" s="9"/>
      <c r="U902" s="11"/>
      <c r="V902" s="9"/>
      <c r="W902" s="11"/>
      <c r="X902" s="9"/>
      <c r="Y902" s="11"/>
      <c r="Z902" s="11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ht="12.75" customHeight="1">
      <c r="A903" s="9"/>
      <c r="B903" s="9"/>
      <c r="C903" s="10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9"/>
      <c r="S903" s="11"/>
      <c r="T903" s="9"/>
      <c r="U903" s="11"/>
      <c r="V903" s="9"/>
      <c r="W903" s="11"/>
      <c r="X903" s="9"/>
      <c r="Y903" s="11"/>
      <c r="Z903" s="11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ht="12.75" customHeight="1">
      <c r="A904" s="9"/>
      <c r="B904" s="9"/>
      <c r="C904" s="10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9"/>
      <c r="S904" s="11"/>
      <c r="T904" s="9"/>
      <c r="U904" s="11"/>
      <c r="V904" s="9"/>
      <c r="W904" s="11"/>
      <c r="X904" s="9"/>
      <c r="Y904" s="11"/>
      <c r="Z904" s="11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ht="12.75" customHeight="1">
      <c r="A905" s="9"/>
      <c r="B905" s="9"/>
      <c r="C905" s="10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9"/>
      <c r="S905" s="11"/>
      <c r="T905" s="9"/>
      <c r="U905" s="11"/>
      <c r="V905" s="9"/>
      <c r="W905" s="11"/>
      <c r="X905" s="9"/>
      <c r="Y905" s="11"/>
      <c r="Z905" s="11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ht="12.75" customHeight="1">
      <c r="A906" s="9"/>
      <c r="B906" s="9"/>
      <c r="C906" s="10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9"/>
      <c r="S906" s="11"/>
      <c r="T906" s="9"/>
      <c r="U906" s="11"/>
      <c r="V906" s="9"/>
      <c r="W906" s="11"/>
      <c r="X906" s="9"/>
      <c r="Y906" s="11"/>
      <c r="Z906" s="11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ht="12.75" customHeight="1">
      <c r="A907" s="9"/>
      <c r="B907" s="9"/>
      <c r="C907" s="10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9"/>
      <c r="S907" s="11"/>
      <c r="T907" s="9"/>
      <c r="U907" s="11"/>
      <c r="V907" s="9"/>
      <c r="W907" s="11"/>
      <c r="X907" s="9"/>
      <c r="Y907" s="11"/>
      <c r="Z907" s="11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ht="12.75" customHeight="1">
      <c r="A908" s="9"/>
      <c r="B908" s="9"/>
      <c r="C908" s="10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9"/>
      <c r="S908" s="11"/>
      <c r="T908" s="9"/>
      <c r="U908" s="11"/>
      <c r="V908" s="9"/>
      <c r="W908" s="11"/>
      <c r="X908" s="9"/>
      <c r="Y908" s="11"/>
      <c r="Z908" s="11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ht="12.75" customHeight="1">
      <c r="A909" s="9"/>
      <c r="B909" s="9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9"/>
      <c r="S909" s="11"/>
      <c r="T909" s="9"/>
      <c r="U909" s="11"/>
      <c r="V909" s="9"/>
      <c r="W909" s="11"/>
      <c r="X909" s="9"/>
      <c r="Y909" s="11"/>
      <c r="Z909" s="11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ht="12.75" customHeight="1">
      <c r="A910" s="9"/>
      <c r="B910" s="9"/>
      <c r="C910" s="10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9"/>
      <c r="S910" s="11"/>
      <c r="T910" s="9"/>
      <c r="U910" s="11"/>
      <c r="V910" s="9"/>
      <c r="W910" s="11"/>
      <c r="X910" s="9"/>
      <c r="Y910" s="11"/>
      <c r="Z910" s="11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ht="12.75" customHeight="1">
      <c r="A911" s="9"/>
      <c r="B911" s="9"/>
      <c r="C911" s="10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9"/>
      <c r="S911" s="11"/>
      <c r="T911" s="9"/>
      <c r="U911" s="11"/>
      <c r="V911" s="9"/>
      <c r="W911" s="11"/>
      <c r="X911" s="9"/>
      <c r="Y911" s="11"/>
      <c r="Z911" s="11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ht="12.75" customHeight="1">
      <c r="A912" s="9"/>
      <c r="B912" s="9"/>
      <c r="C912" s="10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9"/>
      <c r="S912" s="11"/>
      <c r="T912" s="9"/>
      <c r="U912" s="11"/>
      <c r="V912" s="9"/>
      <c r="W912" s="11"/>
      <c r="X912" s="9"/>
      <c r="Y912" s="11"/>
      <c r="Z912" s="11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ht="12.75" customHeight="1">
      <c r="A913" s="9"/>
      <c r="B913" s="9"/>
      <c r="C913" s="10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9"/>
      <c r="S913" s="11"/>
      <c r="T913" s="9"/>
      <c r="U913" s="11"/>
      <c r="V913" s="9"/>
      <c r="W913" s="11"/>
      <c r="X913" s="9"/>
      <c r="Y913" s="11"/>
      <c r="Z913" s="11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ht="12.75" customHeight="1">
      <c r="A914" s="9"/>
      <c r="B914" s="9"/>
      <c r="C914" s="10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9"/>
      <c r="S914" s="11"/>
      <c r="T914" s="9"/>
      <c r="U914" s="11"/>
      <c r="V914" s="9"/>
      <c r="W914" s="11"/>
      <c r="X914" s="9"/>
      <c r="Y914" s="11"/>
      <c r="Z914" s="11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ht="12.75" customHeight="1">
      <c r="A915" s="9"/>
      <c r="B915" s="9"/>
      <c r="C915" s="10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9"/>
      <c r="S915" s="11"/>
      <c r="T915" s="9"/>
      <c r="U915" s="11"/>
      <c r="V915" s="9"/>
      <c r="W915" s="11"/>
      <c r="X915" s="9"/>
      <c r="Y915" s="11"/>
      <c r="Z915" s="11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ht="12.75" customHeight="1">
      <c r="A916" s="9"/>
      <c r="B916" s="9"/>
      <c r="C916" s="10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9"/>
      <c r="S916" s="11"/>
      <c r="T916" s="9"/>
      <c r="U916" s="11"/>
      <c r="V916" s="9"/>
      <c r="W916" s="11"/>
      <c r="X916" s="9"/>
      <c r="Y916" s="11"/>
      <c r="Z916" s="11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ht="12.75" customHeight="1">
      <c r="A917" s="9"/>
      <c r="B917" s="9"/>
      <c r="C917" s="10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9"/>
      <c r="S917" s="11"/>
      <c r="T917" s="9"/>
      <c r="U917" s="11"/>
      <c r="V917" s="9"/>
      <c r="W917" s="11"/>
      <c r="X917" s="9"/>
      <c r="Y917" s="11"/>
      <c r="Z917" s="11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ht="12.75" customHeight="1">
      <c r="A918" s="9"/>
      <c r="B918" s="9"/>
      <c r="C918" s="10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9"/>
      <c r="S918" s="11"/>
      <c r="T918" s="9"/>
      <c r="U918" s="11"/>
      <c r="V918" s="9"/>
      <c r="W918" s="11"/>
      <c r="X918" s="9"/>
      <c r="Y918" s="11"/>
      <c r="Z918" s="11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ht="12.75" customHeight="1">
      <c r="A919" s="9"/>
      <c r="B919" s="9"/>
      <c r="C919" s="10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9"/>
      <c r="S919" s="11"/>
      <c r="T919" s="9"/>
      <c r="U919" s="11"/>
      <c r="V919" s="9"/>
      <c r="W919" s="11"/>
      <c r="X919" s="9"/>
      <c r="Y919" s="11"/>
      <c r="Z919" s="11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ht="12.75" customHeight="1">
      <c r="A920" s="9"/>
      <c r="B920" s="9"/>
      <c r="C920" s="10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9"/>
      <c r="S920" s="11"/>
      <c r="T920" s="9"/>
      <c r="U920" s="11"/>
      <c r="V920" s="9"/>
      <c r="W920" s="11"/>
      <c r="X920" s="9"/>
      <c r="Y920" s="11"/>
      <c r="Z920" s="11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ht="12.75" customHeight="1">
      <c r="A921" s="9"/>
      <c r="B921" s="9"/>
      <c r="C921" s="10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9"/>
      <c r="S921" s="11"/>
      <c r="T921" s="9"/>
      <c r="U921" s="11"/>
      <c r="V921" s="9"/>
      <c r="W921" s="11"/>
      <c r="X921" s="9"/>
      <c r="Y921" s="11"/>
      <c r="Z921" s="11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ht="12.75" customHeight="1">
      <c r="A922" s="9"/>
      <c r="B922" s="9"/>
      <c r="C922" s="10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9"/>
      <c r="S922" s="11"/>
      <c r="T922" s="9"/>
      <c r="U922" s="11"/>
      <c r="V922" s="9"/>
      <c r="W922" s="11"/>
      <c r="X922" s="9"/>
      <c r="Y922" s="11"/>
      <c r="Z922" s="11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ht="12.75" customHeight="1">
      <c r="A923" s="9"/>
      <c r="B923" s="9"/>
      <c r="C923" s="10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9"/>
      <c r="S923" s="11"/>
      <c r="T923" s="9"/>
      <c r="U923" s="11"/>
      <c r="V923" s="9"/>
      <c r="W923" s="11"/>
      <c r="X923" s="9"/>
      <c r="Y923" s="11"/>
      <c r="Z923" s="11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ht="12.75" customHeight="1">
      <c r="A924" s="9"/>
      <c r="B924" s="9"/>
      <c r="C924" s="10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9"/>
      <c r="S924" s="11"/>
      <c r="T924" s="9"/>
      <c r="U924" s="11"/>
      <c r="V924" s="9"/>
      <c r="W924" s="11"/>
      <c r="X924" s="9"/>
      <c r="Y924" s="11"/>
      <c r="Z924" s="11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ht="12.75" customHeight="1">
      <c r="A925" s="9"/>
      <c r="B925" s="9"/>
      <c r="C925" s="10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9"/>
      <c r="S925" s="11"/>
      <c r="T925" s="9"/>
      <c r="U925" s="11"/>
      <c r="V925" s="9"/>
      <c r="W925" s="11"/>
      <c r="X925" s="9"/>
      <c r="Y925" s="11"/>
      <c r="Z925" s="11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ht="12.75" customHeight="1">
      <c r="A926" s="9"/>
      <c r="B926" s="9"/>
      <c r="C926" s="10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9"/>
      <c r="S926" s="11"/>
      <c r="T926" s="9"/>
      <c r="U926" s="11"/>
      <c r="V926" s="9"/>
      <c r="W926" s="11"/>
      <c r="X926" s="9"/>
      <c r="Y926" s="11"/>
      <c r="Z926" s="11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ht="12.75" customHeight="1">
      <c r="A927" s="9"/>
      <c r="B927" s="9"/>
      <c r="C927" s="10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9"/>
      <c r="S927" s="11"/>
      <c r="T927" s="9"/>
      <c r="U927" s="11"/>
      <c r="V927" s="9"/>
      <c r="W927" s="11"/>
      <c r="X927" s="9"/>
      <c r="Y927" s="11"/>
      <c r="Z927" s="11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ht="12.75" customHeight="1">
      <c r="A928" s="9"/>
      <c r="B928" s="9"/>
      <c r="C928" s="10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9"/>
      <c r="S928" s="11"/>
      <c r="T928" s="9"/>
      <c r="U928" s="11"/>
      <c r="V928" s="9"/>
      <c r="W928" s="11"/>
      <c r="X928" s="9"/>
      <c r="Y928" s="11"/>
      <c r="Z928" s="11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ht="12.75" customHeight="1">
      <c r="A929" s="9"/>
      <c r="B929" s="9"/>
      <c r="C929" s="10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9"/>
      <c r="S929" s="11"/>
      <c r="T929" s="9"/>
      <c r="U929" s="11"/>
      <c r="V929" s="9"/>
      <c r="W929" s="11"/>
      <c r="X929" s="9"/>
      <c r="Y929" s="11"/>
      <c r="Z929" s="11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ht="12.75" customHeight="1">
      <c r="A930" s="9"/>
      <c r="B930" s="9"/>
      <c r="C930" s="10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9"/>
      <c r="S930" s="11"/>
      <c r="T930" s="9"/>
      <c r="U930" s="11"/>
      <c r="V930" s="9"/>
      <c r="W930" s="11"/>
      <c r="X930" s="9"/>
      <c r="Y930" s="11"/>
      <c r="Z930" s="11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ht="12.75" customHeight="1">
      <c r="A931" s="9"/>
      <c r="B931" s="9"/>
      <c r="C931" s="10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9"/>
      <c r="S931" s="11"/>
      <c r="T931" s="9"/>
      <c r="U931" s="11"/>
      <c r="V931" s="9"/>
      <c r="W931" s="11"/>
      <c r="X931" s="9"/>
      <c r="Y931" s="11"/>
      <c r="Z931" s="11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ht="12.75" customHeight="1">
      <c r="A932" s="9"/>
      <c r="B932" s="9"/>
      <c r="C932" s="10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9"/>
      <c r="S932" s="11"/>
      <c r="T932" s="9"/>
      <c r="U932" s="11"/>
      <c r="V932" s="9"/>
      <c r="W932" s="11"/>
      <c r="X932" s="9"/>
      <c r="Y932" s="11"/>
      <c r="Z932" s="11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ht="12.75" customHeight="1">
      <c r="A933" s="9"/>
      <c r="B933" s="9"/>
      <c r="C933" s="10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9"/>
      <c r="S933" s="11"/>
      <c r="T933" s="9"/>
      <c r="U933" s="11"/>
      <c r="V933" s="9"/>
      <c r="W933" s="11"/>
      <c r="X933" s="9"/>
      <c r="Y933" s="11"/>
      <c r="Z933" s="11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ht="12.75" customHeight="1">
      <c r="A934" s="9"/>
      <c r="B934" s="9"/>
      <c r="C934" s="10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9"/>
      <c r="S934" s="11"/>
      <c r="T934" s="9"/>
      <c r="U934" s="11"/>
      <c r="V934" s="9"/>
      <c r="W934" s="11"/>
      <c r="X934" s="9"/>
      <c r="Y934" s="11"/>
      <c r="Z934" s="11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ht="12.75" customHeight="1">
      <c r="A935" s="9"/>
      <c r="B935" s="9"/>
      <c r="C935" s="10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9"/>
      <c r="S935" s="11"/>
      <c r="T935" s="9"/>
      <c r="U935" s="11"/>
      <c r="V935" s="9"/>
      <c r="W935" s="11"/>
      <c r="X935" s="9"/>
      <c r="Y935" s="11"/>
      <c r="Z935" s="11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ht="12.75" customHeight="1">
      <c r="A936" s="9"/>
      <c r="B936" s="9"/>
      <c r="C936" s="10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9"/>
      <c r="S936" s="11"/>
      <c r="T936" s="9"/>
      <c r="U936" s="11"/>
      <c r="V936" s="9"/>
      <c r="W936" s="11"/>
      <c r="X936" s="9"/>
      <c r="Y936" s="11"/>
      <c r="Z936" s="11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ht="12.75" customHeight="1">
      <c r="A937" s="9"/>
      <c r="B937" s="9"/>
      <c r="C937" s="10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9"/>
      <c r="S937" s="11"/>
      <c r="T937" s="9"/>
      <c r="U937" s="11"/>
      <c r="V937" s="9"/>
      <c r="W937" s="11"/>
      <c r="X937" s="9"/>
      <c r="Y937" s="11"/>
      <c r="Z937" s="11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ht="12.75" customHeight="1">
      <c r="A938" s="9"/>
      <c r="B938" s="9"/>
      <c r="C938" s="10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9"/>
      <c r="S938" s="11"/>
      <c r="T938" s="9"/>
      <c r="U938" s="11"/>
      <c r="V938" s="9"/>
      <c r="W938" s="11"/>
      <c r="X938" s="9"/>
      <c r="Y938" s="11"/>
      <c r="Z938" s="11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ht="12.75" customHeight="1">
      <c r="A939" s="9"/>
      <c r="B939" s="9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9"/>
      <c r="S939" s="11"/>
      <c r="T939" s="9"/>
      <c r="U939" s="11"/>
      <c r="V939" s="9"/>
      <c r="W939" s="11"/>
      <c r="X939" s="9"/>
      <c r="Y939" s="11"/>
      <c r="Z939" s="11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ht="12.75" customHeight="1">
      <c r="A940" s="9"/>
      <c r="B940" s="9"/>
      <c r="C940" s="10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9"/>
      <c r="S940" s="11"/>
      <c r="T940" s="9"/>
      <c r="U940" s="11"/>
      <c r="V940" s="9"/>
      <c r="W940" s="11"/>
      <c r="X940" s="9"/>
      <c r="Y940" s="11"/>
      <c r="Z940" s="11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ht="12.75" customHeight="1">
      <c r="A941" s="9"/>
      <c r="B941" s="9"/>
      <c r="C941" s="10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9"/>
      <c r="S941" s="11"/>
      <c r="T941" s="9"/>
      <c r="U941" s="11"/>
      <c r="V941" s="9"/>
      <c r="W941" s="11"/>
      <c r="X941" s="9"/>
      <c r="Y941" s="11"/>
      <c r="Z941" s="11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ht="12.75" customHeight="1">
      <c r="A942" s="9"/>
      <c r="B942" s="9"/>
      <c r="C942" s="10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9"/>
      <c r="S942" s="11"/>
      <c r="T942" s="9"/>
      <c r="U942" s="11"/>
      <c r="V942" s="9"/>
      <c r="W942" s="11"/>
      <c r="X942" s="9"/>
      <c r="Y942" s="11"/>
      <c r="Z942" s="11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ht="12.75" customHeight="1">
      <c r="A943" s="9"/>
      <c r="B943" s="9"/>
      <c r="C943" s="10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9"/>
      <c r="S943" s="11"/>
      <c r="T943" s="9"/>
      <c r="U943" s="11"/>
      <c r="V943" s="9"/>
      <c r="W943" s="11"/>
      <c r="X943" s="9"/>
      <c r="Y943" s="11"/>
      <c r="Z943" s="11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ht="12.75" customHeight="1">
      <c r="A944" s="9"/>
      <c r="B944" s="9"/>
      <c r="C944" s="10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9"/>
      <c r="S944" s="11"/>
      <c r="T944" s="9"/>
      <c r="U944" s="11"/>
      <c r="V944" s="9"/>
      <c r="W944" s="11"/>
      <c r="X944" s="9"/>
      <c r="Y944" s="11"/>
      <c r="Z944" s="11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ht="12.75" customHeight="1">
      <c r="A945" s="9"/>
      <c r="B945" s="9"/>
      <c r="C945" s="10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9"/>
      <c r="S945" s="11"/>
      <c r="T945" s="9"/>
      <c r="U945" s="11"/>
      <c r="V945" s="9"/>
      <c r="W945" s="11"/>
      <c r="X945" s="9"/>
      <c r="Y945" s="11"/>
      <c r="Z945" s="11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ht="12.75" customHeight="1">
      <c r="A946" s="9"/>
      <c r="B946" s="9"/>
      <c r="C946" s="10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9"/>
      <c r="S946" s="11"/>
      <c r="T946" s="9"/>
      <c r="U946" s="11"/>
      <c r="V946" s="9"/>
      <c r="W946" s="11"/>
      <c r="X946" s="9"/>
      <c r="Y946" s="11"/>
      <c r="Z946" s="11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ht="12.75" customHeight="1">
      <c r="A947" s="9"/>
      <c r="B947" s="9"/>
      <c r="C947" s="10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9"/>
      <c r="S947" s="11"/>
      <c r="T947" s="9"/>
      <c r="U947" s="11"/>
      <c r="V947" s="9"/>
      <c r="W947" s="11"/>
      <c r="X947" s="9"/>
      <c r="Y947" s="11"/>
      <c r="Z947" s="11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ht="12.75" customHeight="1">
      <c r="A948" s="9"/>
      <c r="B948" s="9"/>
      <c r="C948" s="10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9"/>
      <c r="S948" s="11"/>
      <c r="T948" s="9"/>
      <c r="U948" s="11"/>
      <c r="V948" s="9"/>
      <c r="W948" s="11"/>
      <c r="X948" s="9"/>
      <c r="Y948" s="11"/>
      <c r="Z948" s="11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ht="12.75" customHeight="1">
      <c r="A949" s="9"/>
      <c r="B949" s="9"/>
      <c r="C949" s="10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9"/>
      <c r="S949" s="11"/>
      <c r="T949" s="9"/>
      <c r="U949" s="11"/>
      <c r="V949" s="9"/>
      <c r="W949" s="11"/>
      <c r="X949" s="9"/>
      <c r="Y949" s="11"/>
      <c r="Z949" s="11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ht="12.75" customHeight="1">
      <c r="A950" s="9"/>
      <c r="B950" s="9"/>
      <c r="C950" s="10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9"/>
      <c r="S950" s="11"/>
      <c r="T950" s="9"/>
      <c r="U950" s="11"/>
      <c r="V950" s="9"/>
      <c r="W950" s="11"/>
      <c r="X950" s="9"/>
      <c r="Y950" s="11"/>
      <c r="Z950" s="11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ht="12.75" customHeight="1">
      <c r="A951" s="9"/>
      <c r="B951" s="9"/>
      <c r="C951" s="10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9"/>
      <c r="S951" s="11"/>
      <c r="T951" s="9"/>
      <c r="U951" s="11"/>
      <c r="V951" s="9"/>
      <c r="W951" s="11"/>
      <c r="X951" s="9"/>
      <c r="Y951" s="11"/>
      <c r="Z951" s="11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ht="12.75" customHeight="1">
      <c r="A952" s="9"/>
      <c r="B952" s="9"/>
      <c r="C952" s="10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9"/>
      <c r="S952" s="11"/>
      <c r="T952" s="9"/>
      <c r="U952" s="11"/>
      <c r="V952" s="9"/>
      <c r="W952" s="11"/>
      <c r="X952" s="9"/>
      <c r="Y952" s="11"/>
      <c r="Z952" s="11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ht="12.75" customHeight="1">
      <c r="A953" s="9"/>
      <c r="B953" s="9"/>
      <c r="C953" s="10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9"/>
      <c r="S953" s="11"/>
      <c r="T953" s="9"/>
      <c r="U953" s="11"/>
      <c r="V953" s="9"/>
      <c r="W953" s="11"/>
      <c r="X953" s="9"/>
      <c r="Y953" s="11"/>
      <c r="Z953" s="11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ht="12.75" customHeight="1">
      <c r="A954" s="9"/>
      <c r="B954" s="9"/>
      <c r="C954" s="10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9"/>
      <c r="S954" s="11"/>
      <c r="T954" s="9"/>
      <c r="U954" s="11"/>
      <c r="V954" s="9"/>
      <c r="W954" s="11"/>
      <c r="X954" s="9"/>
      <c r="Y954" s="11"/>
      <c r="Z954" s="11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ht="12.75" customHeight="1">
      <c r="A955" s="9"/>
      <c r="B955" s="9"/>
      <c r="C955" s="10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9"/>
      <c r="S955" s="11"/>
      <c r="T955" s="9"/>
      <c r="U955" s="11"/>
      <c r="V955" s="9"/>
      <c r="W955" s="11"/>
      <c r="X955" s="9"/>
      <c r="Y955" s="11"/>
      <c r="Z955" s="11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ht="12.75" customHeight="1">
      <c r="A956" s="9"/>
      <c r="B956" s="9"/>
      <c r="C956" s="10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9"/>
      <c r="S956" s="11"/>
      <c r="T956" s="9"/>
      <c r="U956" s="11"/>
      <c r="V956" s="9"/>
      <c r="W956" s="11"/>
      <c r="X956" s="9"/>
      <c r="Y956" s="11"/>
      <c r="Z956" s="11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ht="12.75" customHeight="1">
      <c r="A957" s="9"/>
      <c r="B957" s="9"/>
      <c r="C957" s="10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9"/>
      <c r="S957" s="11"/>
      <c r="T957" s="9"/>
      <c r="U957" s="11"/>
      <c r="V957" s="9"/>
      <c r="W957" s="11"/>
      <c r="X957" s="9"/>
      <c r="Y957" s="11"/>
      <c r="Z957" s="11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ht="12.75" customHeight="1">
      <c r="A958" s="9"/>
      <c r="B958" s="9"/>
      <c r="C958" s="10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9"/>
      <c r="S958" s="11"/>
      <c r="T958" s="9"/>
      <c r="U958" s="11"/>
      <c r="V958" s="9"/>
      <c r="W958" s="11"/>
      <c r="X958" s="9"/>
      <c r="Y958" s="11"/>
      <c r="Z958" s="11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ht="12.75" customHeight="1">
      <c r="A959" s="9"/>
      <c r="B959" s="9"/>
      <c r="C959" s="10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9"/>
      <c r="S959" s="11"/>
      <c r="T959" s="9"/>
      <c r="U959" s="11"/>
      <c r="V959" s="9"/>
      <c r="W959" s="11"/>
      <c r="X959" s="9"/>
      <c r="Y959" s="11"/>
      <c r="Z959" s="11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ht="12.75" customHeight="1">
      <c r="A960" s="9"/>
      <c r="B960" s="9"/>
      <c r="C960" s="10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9"/>
      <c r="S960" s="11"/>
      <c r="T960" s="9"/>
      <c r="U960" s="11"/>
      <c r="V960" s="9"/>
      <c r="W960" s="11"/>
      <c r="X960" s="9"/>
      <c r="Y960" s="11"/>
      <c r="Z960" s="11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ht="12.75" customHeight="1">
      <c r="A961" s="9"/>
      <c r="B961" s="9"/>
      <c r="C961" s="10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9"/>
      <c r="S961" s="11"/>
      <c r="T961" s="9"/>
      <c r="U961" s="11"/>
      <c r="V961" s="9"/>
      <c r="W961" s="11"/>
      <c r="X961" s="9"/>
      <c r="Y961" s="11"/>
      <c r="Z961" s="11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ht="12.75" customHeight="1">
      <c r="A962" s="9"/>
      <c r="B962" s="9"/>
      <c r="C962" s="10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9"/>
      <c r="S962" s="11"/>
      <c r="T962" s="9"/>
      <c r="U962" s="11"/>
      <c r="V962" s="9"/>
      <c r="W962" s="11"/>
      <c r="X962" s="9"/>
      <c r="Y962" s="11"/>
      <c r="Z962" s="11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ht="12.75" customHeight="1">
      <c r="A963" s="9"/>
      <c r="B963" s="9"/>
      <c r="C963" s="10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9"/>
      <c r="S963" s="11"/>
      <c r="T963" s="9"/>
      <c r="U963" s="11"/>
      <c r="V963" s="9"/>
      <c r="W963" s="11"/>
      <c r="X963" s="9"/>
      <c r="Y963" s="11"/>
      <c r="Z963" s="11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ht="12.75" customHeight="1">
      <c r="A964" s="9"/>
      <c r="B964" s="9"/>
      <c r="C964" s="10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9"/>
      <c r="S964" s="11"/>
      <c r="T964" s="9"/>
      <c r="U964" s="11"/>
      <c r="V964" s="9"/>
      <c r="W964" s="11"/>
      <c r="X964" s="9"/>
      <c r="Y964" s="11"/>
      <c r="Z964" s="11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ht="12.75" customHeight="1">
      <c r="A965" s="9"/>
      <c r="B965" s="9"/>
      <c r="C965" s="10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9"/>
      <c r="S965" s="11"/>
      <c r="T965" s="9"/>
      <c r="U965" s="11"/>
      <c r="V965" s="9"/>
      <c r="W965" s="11"/>
      <c r="X965" s="9"/>
      <c r="Y965" s="11"/>
      <c r="Z965" s="11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ht="12.75" customHeight="1">
      <c r="A966" s="9"/>
      <c r="B966" s="9"/>
      <c r="C966" s="10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9"/>
      <c r="S966" s="11"/>
      <c r="T966" s="9"/>
      <c r="U966" s="11"/>
      <c r="V966" s="9"/>
      <c r="W966" s="11"/>
      <c r="X966" s="9"/>
      <c r="Y966" s="11"/>
      <c r="Z966" s="11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ht="12.75" customHeight="1">
      <c r="A967" s="9"/>
      <c r="B967" s="9"/>
      <c r="C967" s="10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9"/>
      <c r="S967" s="11"/>
      <c r="T967" s="9"/>
      <c r="U967" s="11"/>
      <c r="V967" s="9"/>
      <c r="W967" s="11"/>
      <c r="X967" s="9"/>
      <c r="Y967" s="11"/>
      <c r="Z967" s="11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ht="12.75" customHeight="1">
      <c r="A968" s="9"/>
      <c r="B968" s="9"/>
      <c r="C968" s="10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9"/>
      <c r="S968" s="11"/>
      <c r="T968" s="9"/>
      <c r="U968" s="11"/>
      <c r="V968" s="9"/>
      <c r="W968" s="11"/>
      <c r="X968" s="9"/>
      <c r="Y968" s="11"/>
      <c r="Z968" s="11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ht="12.75" customHeight="1">
      <c r="A969" s="9"/>
      <c r="B969" s="9"/>
      <c r="C969" s="10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9"/>
      <c r="S969" s="11"/>
      <c r="T969" s="9"/>
      <c r="U969" s="11"/>
      <c r="V969" s="9"/>
      <c r="W969" s="11"/>
      <c r="X969" s="9"/>
      <c r="Y969" s="11"/>
      <c r="Z969" s="11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ht="12.75" customHeight="1">
      <c r="A970" s="9"/>
      <c r="B970" s="9"/>
      <c r="C970" s="10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9"/>
      <c r="S970" s="11"/>
      <c r="T970" s="9"/>
      <c r="U970" s="11"/>
      <c r="V970" s="9"/>
      <c r="W970" s="11"/>
      <c r="X970" s="9"/>
      <c r="Y970" s="11"/>
      <c r="Z970" s="11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ht="12.75" customHeight="1">
      <c r="A971" s="9"/>
      <c r="B971" s="9"/>
      <c r="C971" s="10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9"/>
      <c r="S971" s="11"/>
      <c r="T971" s="9"/>
      <c r="U971" s="11"/>
      <c r="V971" s="9"/>
      <c r="W971" s="11"/>
      <c r="X971" s="9"/>
      <c r="Y971" s="11"/>
      <c r="Z971" s="11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ht="12.75" customHeight="1">
      <c r="A972" s="9"/>
      <c r="B972" s="9"/>
      <c r="C972" s="10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9"/>
      <c r="S972" s="11"/>
      <c r="T972" s="9"/>
      <c r="U972" s="11"/>
      <c r="V972" s="9"/>
      <c r="W972" s="11"/>
      <c r="X972" s="9"/>
      <c r="Y972" s="11"/>
      <c r="Z972" s="11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ht="12.75" customHeight="1">
      <c r="A973" s="9"/>
      <c r="B973" s="9"/>
      <c r="C973" s="10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9"/>
      <c r="S973" s="11"/>
      <c r="T973" s="9"/>
      <c r="U973" s="11"/>
      <c r="V973" s="9"/>
      <c r="W973" s="11"/>
      <c r="X973" s="9"/>
      <c r="Y973" s="11"/>
      <c r="Z973" s="11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ht="12.75" customHeight="1">
      <c r="A974" s="9"/>
      <c r="B974" s="9"/>
      <c r="C974" s="10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9"/>
      <c r="S974" s="11"/>
      <c r="T974" s="9"/>
      <c r="U974" s="11"/>
      <c r="V974" s="9"/>
      <c r="W974" s="11"/>
      <c r="X974" s="9"/>
      <c r="Y974" s="11"/>
      <c r="Z974" s="11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ht="12.75" customHeight="1">
      <c r="A975" s="9"/>
      <c r="B975" s="9"/>
      <c r="C975" s="10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9"/>
      <c r="S975" s="11"/>
      <c r="T975" s="9"/>
      <c r="U975" s="11"/>
      <c r="V975" s="9"/>
      <c r="W975" s="11"/>
      <c r="X975" s="9"/>
      <c r="Y975" s="11"/>
      <c r="Z975" s="11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ht="12.75" customHeight="1">
      <c r="A976" s="9"/>
      <c r="B976" s="9"/>
      <c r="C976" s="10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9"/>
      <c r="S976" s="11"/>
      <c r="T976" s="9"/>
      <c r="U976" s="11"/>
      <c r="V976" s="9"/>
      <c r="W976" s="11"/>
      <c r="X976" s="9"/>
      <c r="Y976" s="11"/>
      <c r="Z976" s="11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ht="12.75" customHeight="1">
      <c r="A977" s="9"/>
      <c r="B977" s="9"/>
      <c r="C977" s="10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9"/>
      <c r="S977" s="11"/>
      <c r="T977" s="9"/>
      <c r="U977" s="11"/>
      <c r="V977" s="9"/>
      <c r="W977" s="11"/>
      <c r="X977" s="9"/>
      <c r="Y977" s="11"/>
      <c r="Z977" s="11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ht="12.75" customHeight="1">
      <c r="A978" s="9"/>
      <c r="B978" s="9"/>
      <c r="C978" s="10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9"/>
      <c r="S978" s="11"/>
      <c r="T978" s="9"/>
      <c r="U978" s="11"/>
      <c r="V978" s="9"/>
      <c r="W978" s="11"/>
      <c r="X978" s="9"/>
      <c r="Y978" s="11"/>
      <c r="Z978" s="11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ht="12.75" customHeight="1">
      <c r="A979" s="9"/>
      <c r="B979" s="9"/>
      <c r="C979" s="10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9"/>
      <c r="S979" s="11"/>
      <c r="T979" s="9"/>
      <c r="U979" s="11"/>
      <c r="V979" s="9"/>
      <c r="W979" s="11"/>
      <c r="X979" s="9"/>
      <c r="Y979" s="11"/>
      <c r="Z979" s="11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ht="12.75" customHeight="1">
      <c r="A980" s="9"/>
      <c r="B980" s="9"/>
      <c r="C980" s="10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9"/>
      <c r="S980" s="11"/>
      <c r="T980" s="9"/>
      <c r="U980" s="11"/>
      <c r="V980" s="9"/>
      <c r="W980" s="11"/>
      <c r="X980" s="9"/>
      <c r="Y980" s="11"/>
      <c r="Z980" s="11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ht="12.75" customHeight="1">
      <c r="A981" s="9"/>
      <c r="B981" s="9"/>
      <c r="C981" s="10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9"/>
      <c r="S981" s="11"/>
      <c r="T981" s="9"/>
      <c r="U981" s="11"/>
      <c r="V981" s="9"/>
      <c r="W981" s="11"/>
      <c r="X981" s="9"/>
      <c r="Y981" s="11"/>
      <c r="Z981" s="11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ht="12.75" customHeight="1">
      <c r="A982" s="9"/>
      <c r="B982" s="9"/>
      <c r="C982" s="10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9"/>
      <c r="S982" s="11"/>
      <c r="T982" s="9"/>
      <c r="U982" s="11"/>
      <c r="V982" s="9"/>
      <c r="W982" s="11"/>
      <c r="X982" s="9"/>
      <c r="Y982" s="11"/>
      <c r="Z982" s="11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ht="12.75" customHeight="1">
      <c r="A983" s="9"/>
      <c r="B983" s="9"/>
      <c r="C983" s="10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9"/>
      <c r="S983" s="11"/>
      <c r="T983" s="9"/>
      <c r="U983" s="11"/>
      <c r="V983" s="9"/>
      <c r="W983" s="11"/>
      <c r="X983" s="9"/>
      <c r="Y983" s="11"/>
      <c r="Z983" s="11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ht="12.75" customHeight="1">
      <c r="A984" s="9"/>
      <c r="B984" s="9"/>
      <c r="C984" s="10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9"/>
      <c r="S984" s="11"/>
      <c r="T984" s="9"/>
      <c r="U984" s="11"/>
      <c r="V984" s="9"/>
      <c r="W984" s="11"/>
      <c r="X984" s="9"/>
      <c r="Y984" s="11"/>
      <c r="Z984" s="11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ht="12.75" customHeight="1">
      <c r="A985" s="9"/>
      <c r="B985" s="9"/>
      <c r="C985" s="10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9"/>
      <c r="S985" s="11"/>
      <c r="T985" s="9"/>
      <c r="U985" s="11"/>
      <c r="V985" s="9"/>
      <c r="W985" s="11"/>
      <c r="X985" s="9"/>
      <c r="Y985" s="11"/>
      <c r="Z985" s="11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ht="12.75" customHeight="1">
      <c r="A986" s="9"/>
      <c r="B986" s="9"/>
      <c r="C986" s="10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9"/>
      <c r="S986" s="11"/>
      <c r="T986" s="9"/>
      <c r="U986" s="11"/>
      <c r="V986" s="9"/>
      <c r="W986" s="11"/>
      <c r="X986" s="9"/>
      <c r="Y986" s="11"/>
      <c r="Z986" s="11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ht="12.75" customHeight="1">
      <c r="A987" s="9"/>
      <c r="B987" s="9"/>
      <c r="C987" s="10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9"/>
      <c r="S987" s="11"/>
      <c r="T987" s="9"/>
      <c r="U987" s="11"/>
      <c r="V987" s="9"/>
      <c r="W987" s="11"/>
      <c r="X987" s="9"/>
      <c r="Y987" s="11"/>
      <c r="Z987" s="11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ht="12.75" customHeight="1">
      <c r="A988" s="9"/>
      <c r="B988" s="9"/>
      <c r="C988" s="10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9"/>
      <c r="S988" s="11"/>
      <c r="T988" s="9"/>
      <c r="U988" s="11"/>
      <c r="V988" s="9"/>
      <c r="W988" s="11"/>
      <c r="X988" s="9"/>
      <c r="Y988" s="11"/>
      <c r="Z988" s="11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ht="12.75" customHeight="1">
      <c r="A989" s="9"/>
      <c r="B989" s="9"/>
      <c r="C989" s="10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9"/>
      <c r="S989" s="11"/>
      <c r="T989" s="9"/>
      <c r="U989" s="11"/>
      <c r="V989" s="9"/>
      <c r="W989" s="11"/>
      <c r="X989" s="9"/>
      <c r="Y989" s="11"/>
      <c r="Z989" s="11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ht="12.75" customHeight="1">
      <c r="A990" s="9"/>
      <c r="B990" s="9"/>
      <c r="C990" s="10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9"/>
      <c r="S990" s="11"/>
      <c r="T990" s="9"/>
      <c r="U990" s="11"/>
      <c r="V990" s="9"/>
      <c r="W990" s="11"/>
      <c r="X990" s="9"/>
      <c r="Y990" s="11"/>
      <c r="Z990" s="11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ht="12.75" customHeight="1">
      <c r="A991" s="9"/>
      <c r="B991" s="9"/>
      <c r="C991" s="10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9"/>
      <c r="S991" s="11"/>
      <c r="T991" s="9"/>
      <c r="U991" s="11"/>
      <c r="V991" s="9"/>
      <c r="W991" s="11"/>
      <c r="X991" s="9"/>
      <c r="Y991" s="11"/>
      <c r="Z991" s="11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ht="12.75" customHeight="1">
      <c r="A992" s="9"/>
      <c r="B992" s="9"/>
      <c r="C992" s="10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9"/>
      <c r="S992" s="11"/>
      <c r="T992" s="9"/>
      <c r="U992" s="11"/>
      <c r="V992" s="9"/>
      <c r="W992" s="11"/>
      <c r="X992" s="9"/>
      <c r="Y992" s="11"/>
      <c r="Z992" s="11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ht="12.75" customHeight="1">
      <c r="A993" s="9"/>
      <c r="B993" s="9"/>
      <c r="C993" s="10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9"/>
      <c r="S993" s="11"/>
      <c r="T993" s="9"/>
      <c r="U993" s="11"/>
      <c r="V993" s="9"/>
      <c r="W993" s="11"/>
      <c r="X993" s="9"/>
      <c r="Y993" s="11"/>
      <c r="Z993" s="11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ht="12.75" customHeight="1">
      <c r="A994" s="9"/>
      <c r="B994" s="9"/>
      <c r="C994" s="10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9"/>
      <c r="S994" s="11"/>
      <c r="T994" s="9"/>
      <c r="U994" s="11"/>
      <c r="V994" s="9"/>
      <c r="W994" s="11"/>
      <c r="X994" s="9"/>
      <c r="Y994" s="11"/>
      <c r="Z994" s="11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ht="12.75" customHeight="1">
      <c r="A995" s="9"/>
      <c r="B995" s="9"/>
      <c r="C995" s="10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9"/>
      <c r="S995" s="11"/>
      <c r="T995" s="9"/>
      <c r="U995" s="11"/>
      <c r="V995" s="9"/>
      <c r="W995" s="11"/>
      <c r="X995" s="9"/>
      <c r="Y995" s="11"/>
      <c r="Z995" s="11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ht="12.75" customHeight="1">
      <c r="A996" s="9"/>
      <c r="B996" s="9"/>
      <c r="C996" s="10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9"/>
      <c r="S996" s="11"/>
      <c r="T996" s="9"/>
      <c r="U996" s="11"/>
      <c r="V996" s="9"/>
      <c r="W996" s="11"/>
      <c r="X996" s="9"/>
      <c r="Y996" s="11"/>
      <c r="Z996" s="11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 ht="12.75" customHeight="1">
      <c r="A997" s="9"/>
      <c r="B997" s="9"/>
      <c r="C997" s="10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9"/>
      <c r="S997" s="11"/>
      <c r="T997" s="9"/>
      <c r="U997" s="11"/>
      <c r="V997" s="9"/>
      <c r="W997" s="11"/>
      <c r="X997" s="9"/>
      <c r="Y997" s="11"/>
      <c r="Z997" s="11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 ht="12.75" customHeight="1">
      <c r="A998" s="9"/>
      <c r="B998" s="9"/>
      <c r="C998" s="10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9"/>
      <c r="S998" s="11"/>
      <c r="T998" s="9"/>
      <c r="U998" s="11"/>
      <c r="V998" s="9"/>
      <c r="W998" s="11"/>
      <c r="X998" s="9"/>
      <c r="Y998" s="11"/>
      <c r="Z998" s="11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ht="12.75" customHeight="1">
      <c r="A999" s="9"/>
      <c r="B999" s="9"/>
      <c r="C999" s="10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9"/>
      <c r="S999" s="11"/>
      <c r="T999" s="9"/>
      <c r="U999" s="11"/>
      <c r="V999" s="9"/>
      <c r="W999" s="11"/>
      <c r="X999" s="9"/>
      <c r="Y999" s="11"/>
      <c r="Z999" s="11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 ht="12.75" customHeight="1">
      <c r="A1000" s="9"/>
      <c r="B1000" s="9"/>
      <c r="C1000" s="10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9"/>
      <c r="S1000" s="11"/>
      <c r="T1000" s="9"/>
      <c r="U1000" s="11"/>
      <c r="V1000" s="9"/>
      <c r="W1000" s="11"/>
      <c r="X1000" s="9"/>
      <c r="Y1000" s="11"/>
      <c r="Z1000" s="11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</sheetData>
  <mergeCells count="15">
    <mergeCell ref="B3:B7"/>
    <mergeCell ref="C4:C7"/>
    <mergeCell ref="B8:Z8"/>
    <mergeCell ref="B30:Z30"/>
    <mergeCell ref="B55:S55"/>
    <mergeCell ref="T55:U55"/>
    <mergeCell ref="V55:Y55"/>
    <mergeCell ref="B67:S67"/>
    <mergeCell ref="D3:O3"/>
    <mergeCell ref="P3:P7"/>
    <mergeCell ref="Q3:S3"/>
    <mergeCell ref="T3:U3"/>
    <mergeCell ref="V3:W3"/>
    <mergeCell ref="X3:Y3"/>
    <mergeCell ref="AB3:A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63"/>
    <col customWidth="1" min="2" max="2" width="23.5"/>
    <col customWidth="1" min="3" max="3" width="12.88"/>
    <col customWidth="1" min="4" max="4" width="17.5"/>
    <col customWidth="1" hidden="1" min="5" max="16" width="14.88"/>
    <col customWidth="1" min="17" max="17" width="14.88"/>
    <col customWidth="1" min="18" max="18" width="13.5"/>
    <col customWidth="1" min="19" max="19" width="21.5"/>
    <col customWidth="1" hidden="1" min="20" max="20" width="9.13"/>
    <col customWidth="1" hidden="1" min="21" max="21" width="71.63"/>
    <col customWidth="1" min="22" max="26" width="9.13"/>
  </cols>
  <sheetData>
    <row r="1" ht="21.75" customHeight="1">
      <c r="A1" s="1"/>
      <c r="B1" s="3" t="s">
        <v>279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3"/>
      <c r="R1" s="3"/>
      <c r="S1" s="3"/>
      <c r="T1" s="1"/>
      <c r="U1" s="1"/>
      <c r="V1" s="1"/>
      <c r="W1" s="1"/>
      <c r="X1" s="1"/>
      <c r="Y1" s="1"/>
      <c r="Z1" s="1"/>
    </row>
    <row r="2" ht="12.75" customHeight="1">
      <c r="A2" s="9"/>
      <c r="B2" s="9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66"/>
      <c r="B3" s="167" t="s">
        <v>20</v>
      </c>
      <c r="C3" s="168"/>
      <c r="D3" s="169" t="s">
        <v>21</v>
      </c>
      <c r="E3" s="170" t="s">
        <v>280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  <c r="Q3" s="171" t="s">
        <v>22</v>
      </c>
      <c r="R3" s="171" t="s">
        <v>23</v>
      </c>
      <c r="S3" s="171" t="s">
        <v>25</v>
      </c>
      <c r="T3" s="13"/>
      <c r="U3" s="25"/>
      <c r="V3" s="166"/>
      <c r="W3" s="166"/>
      <c r="X3" s="166"/>
      <c r="Y3" s="166"/>
      <c r="Z3" s="172"/>
    </row>
    <row r="4" ht="12.75" customHeight="1">
      <c r="A4" s="173"/>
      <c r="B4" s="174" t="s">
        <v>281</v>
      </c>
      <c r="C4" s="175" t="s">
        <v>4</v>
      </c>
      <c r="D4" s="176" t="s">
        <v>282</v>
      </c>
      <c r="E4" s="177" t="s">
        <v>40</v>
      </c>
      <c r="F4" s="177" t="s">
        <v>42</v>
      </c>
      <c r="G4" s="177" t="s">
        <v>44</v>
      </c>
      <c r="H4" s="177" t="s">
        <v>45</v>
      </c>
      <c r="I4" s="177" t="s">
        <v>46</v>
      </c>
      <c r="J4" s="177" t="s">
        <v>47</v>
      </c>
      <c r="K4" s="177" t="s">
        <v>48</v>
      </c>
      <c r="L4" s="177" t="s">
        <v>49</v>
      </c>
      <c r="M4" s="177" t="s">
        <v>50</v>
      </c>
      <c r="N4" s="177" t="s">
        <v>51</v>
      </c>
      <c r="O4" s="177" t="s">
        <v>52</v>
      </c>
      <c r="P4" s="177" t="s">
        <v>53</v>
      </c>
      <c r="Q4" s="178" t="s">
        <v>283</v>
      </c>
      <c r="R4" s="178" t="s">
        <v>0</v>
      </c>
      <c r="S4" s="179" t="s">
        <v>284</v>
      </c>
      <c r="T4" s="9"/>
      <c r="U4" s="43"/>
      <c r="V4" s="173"/>
      <c r="W4" s="173"/>
      <c r="X4" s="173"/>
      <c r="Y4" s="173"/>
      <c r="Z4" s="180"/>
    </row>
    <row r="5" ht="12.75" customHeight="1">
      <c r="A5" s="173"/>
      <c r="B5" s="26"/>
      <c r="C5" s="2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 t="s">
        <v>285</v>
      </c>
      <c r="R5" s="181" t="s">
        <v>286</v>
      </c>
      <c r="S5" s="182" t="s">
        <v>287</v>
      </c>
      <c r="T5" s="9"/>
      <c r="U5" s="48"/>
      <c r="V5" s="183"/>
      <c r="W5" s="173"/>
      <c r="X5" s="173"/>
      <c r="Y5" s="173"/>
      <c r="Z5" s="180"/>
    </row>
    <row r="6" ht="12.75" customHeight="1">
      <c r="A6" s="183"/>
      <c r="B6" s="105"/>
      <c r="C6" s="105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 t="s">
        <v>288</v>
      </c>
      <c r="T6" s="58"/>
      <c r="U6" s="59"/>
      <c r="V6" s="183"/>
      <c r="W6" s="183"/>
      <c r="X6" s="183"/>
      <c r="Y6" s="183"/>
      <c r="Z6" s="180"/>
    </row>
    <row r="7" ht="12.75" customHeight="1">
      <c r="A7" s="183"/>
      <c r="B7" s="185" t="s">
        <v>187</v>
      </c>
      <c r="C7" s="186" t="s">
        <v>209</v>
      </c>
      <c r="D7" s="187">
        <f>'Conversion Factors'!L16</f>
        <v>2087.5</v>
      </c>
      <c r="E7" s="188">
        <v>22.7</v>
      </c>
      <c r="F7" s="188">
        <v>11.35</v>
      </c>
      <c r="G7" s="188">
        <v>0.0</v>
      </c>
      <c r="H7" s="188">
        <v>45.4</v>
      </c>
      <c r="I7" s="188">
        <v>0.0</v>
      </c>
      <c r="J7" s="188">
        <v>45.4</v>
      </c>
      <c r="K7" s="188">
        <v>45.4</v>
      </c>
      <c r="L7" s="188">
        <v>0.0</v>
      </c>
      <c r="M7" s="188">
        <v>34.05</v>
      </c>
      <c r="N7" s="188">
        <v>0.0</v>
      </c>
      <c r="O7" s="188">
        <v>0.0</v>
      </c>
      <c r="P7" s="188"/>
      <c r="Q7" s="189">
        <f t="shared" ref="Q7:Q9" si="1">SUM(E7:P7)</f>
        <v>204.3</v>
      </c>
      <c r="R7" s="190">
        <v>0.001</v>
      </c>
      <c r="S7" s="126">
        <f t="shared" ref="S7:S9" si="2">D7*Q7*R7</f>
        <v>426.47625</v>
      </c>
      <c r="T7" s="58"/>
      <c r="U7" s="66"/>
      <c r="V7" s="183"/>
      <c r="W7" s="183"/>
      <c r="X7" s="183"/>
      <c r="Y7" s="183"/>
      <c r="Z7" s="180"/>
    </row>
    <row r="8" ht="12.75" customHeight="1">
      <c r="A8" s="183"/>
      <c r="B8" s="185" t="s">
        <v>289</v>
      </c>
      <c r="C8" s="186" t="s">
        <v>209</v>
      </c>
      <c r="D8" s="187">
        <f>D7</f>
        <v>2087.5</v>
      </c>
      <c r="E8" s="187">
        <v>0.0</v>
      </c>
      <c r="F8" s="187">
        <v>0.0</v>
      </c>
      <c r="G8" s="187">
        <v>0.0</v>
      </c>
      <c r="H8" s="187">
        <v>0.0</v>
      </c>
      <c r="I8" s="187">
        <v>45.4</v>
      </c>
      <c r="J8" s="187">
        <v>0.0</v>
      </c>
      <c r="K8" s="187">
        <v>0.0</v>
      </c>
      <c r="L8" s="187">
        <v>0.0</v>
      </c>
      <c r="M8" s="187">
        <v>0.0</v>
      </c>
      <c r="N8" s="187">
        <v>0.0</v>
      </c>
      <c r="O8" s="187">
        <v>0.0</v>
      </c>
      <c r="P8" s="187"/>
      <c r="Q8" s="189">
        <f t="shared" si="1"/>
        <v>45.4</v>
      </c>
      <c r="R8" s="190">
        <v>0.001</v>
      </c>
      <c r="S8" s="126">
        <f t="shared" si="2"/>
        <v>94.7725</v>
      </c>
      <c r="T8" s="58"/>
      <c r="U8" s="66"/>
      <c r="V8" s="183"/>
      <c r="W8" s="183"/>
      <c r="X8" s="183"/>
      <c r="Y8" s="183"/>
      <c r="Z8" s="180"/>
    </row>
    <row r="9" ht="12.75" customHeight="1">
      <c r="A9" s="183"/>
      <c r="B9" s="185" t="s">
        <v>195</v>
      </c>
      <c r="C9" s="186" t="s">
        <v>209</v>
      </c>
      <c r="D9" s="187">
        <f>'Conversion Factors'!L18</f>
        <v>1773.85</v>
      </c>
      <c r="E9" s="188">
        <v>0.0</v>
      </c>
      <c r="F9" s="188">
        <v>11.35</v>
      </c>
      <c r="G9" s="188">
        <v>0.0</v>
      </c>
      <c r="H9" s="188">
        <v>0.0</v>
      </c>
      <c r="I9" s="188">
        <v>0.0</v>
      </c>
      <c r="J9" s="188">
        <v>0.0</v>
      </c>
      <c r="K9" s="188">
        <v>0.0</v>
      </c>
      <c r="L9" s="188">
        <v>34.05</v>
      </c>
      <c r="M9" s="188">
        <v>0.0</v>
      </c>
      <c r="N9" s="188">
        <v>22.7</v>
      </c>
      <c r="O9" s="188">
        <v>0.0</v>
      </c>
      <c r="P9" s="188"/>
      <c r="Q9" s="189">
        <f t="shared" si="1"/>
        <v>68.1</v>
      </c>
      <c r="R9" s="190">
        <v>0.001</v>
      </c>
      <c r="S9" s="189">
        <f t="shared" si="2"/>
        <v>120.799185</v>
      </c>
      <c r="T9" s="191"/>
      <c r="U9" s="66"/>
      <c r="V9" s="183"/>
      <c r="W9" s="183"/>
      <c r="X9" s="183"/>
      <c r="Y9" s="183"/>
      <c r="Z9" s="180"/>
    </row>
    <row r="10" ht="21.75" customHeight="1">
      <c r="A10" s="183"/>
      <c r="B10" s="192" t="s">
        <v>247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7"/>
      <c r="S10" s="193">
        <f>SUM(S7:S9)</f>
        <v>642.047935</v>
      </c>
      <c r="T10" s="191"/>
      <c r="U10" s="66"/>
      <c r="V10" s="9"/>
      <c r="W10" s="183"/>
      <c r="X10" s="183"/>
      <c r="Y10" s="183"/>
      <c r="Z10" s="180"/>
    </row>
    <row r="11" ht="12.75" customHeight="1">
      <c r="A11" s="9"/>
      <c r="B11" s="9"/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91"/>
      <c r="U11" s="109"/>
      <c r="V11" s="9"/>
      <c r="W11" s="9"/>
      <c r="X11" s="9"/>
      <c r="Y11" s="9"/>
      <c r="Z11" s="9"/>
    </row>
    <row r="12" ht="12.75" customHeight="1">
      <c r="A12" s="9"/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9"/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9"/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9"/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3"/>
      <c r="U18" s="103"/>
      <c r="V18" s="9"/>
      <c r="W18" s="9"/>
      <c r="X18" s="9"/>
      <c r="Y18" s="9"/>
      <c r="Z18" s="9"/>
    </row>
    <row r="19" ht="12.75" customHeight="1">
      <c r="A19" s="9"/>
      <c r="B19" s="9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1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1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1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1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4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56"/>
      <c r="U67" s="156"/>
      <c r="V67" s="9"/>
      <c r="W67" s="9"/>
      <c r="X67" s="9"/>
      <c r="Y67" s="9"/>
      <c r="Z67" s="9"/>
    </row>
    <row r="68" ht="12.75" customHeight="1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59"/>
      <c r="U69" s="159"/>
      <c r="V69" s="9"/>
      <c r="W69" s="9"/>
      <c r="X69" s="9"/>
      <c r="Y69" s="9"/>
      <c r="Z69" s="9"/>
    </row>
    <row r="70" ht="12.75" customHeight="1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59"/>
      <c r="U70" s="159"/>
      <c r="V70" s="9"/>
      <c r="W70" s="9"/>
      <c r="X70" s="9"/>
      <c r="Y70" s="9"/>
      <c r="Z70" s="9"/>
    </row>
    <row r="71" ht="12.75" customHeight="1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59"/>
      <c r="U71" s="159"/>
      <c r="V71" s="9"/>
      <c r="W71" s="9"/>
      <c r="X71" s="9"/>
      <c r="Y71" s="9"/>
      <c r="Z71" s="9"/>
    </row>
    <row r="72" ht="12.75" customHeight="1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59"/>
      <c r="U72" s="159"/>
      <c r="V72" s="9"/>
      <c r="W72" s="9"/>
      <c r="X72" s="9"/>
      <c r="Y72" s="9"/>
      <c r="Z72" s="9"/>
    </row>
    <row r="73" ht="12.75" customHeight="1">
      <c r="A73" s="9"/>
      <c r="B73" s="9"/>
      <c r="C73" s="1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59"/>
      <c r="U73" s="159"/>
      <c r="V73" s="9"/>
      <c r="W73" s="9"/>
      <c r="X73" s="9"/>
      <c r="Y73" s="9"/>
      <c r="Z73" s="9"/>
    </row>
    <row r="74" ht="12.75" customHeight="1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59"/>
      <c r="U74" s="159"/>
      <c r="V74" s="9"/>
      <c r="W74" s="9"/>
      <c r="X74" s="9"/>
      <c r="Y74" s="9"/>
      <c r="Z74" s="9"/>
    </row>
    <row r="75" ht="12.75" customHeight="1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59"/>
      <c r="U75" s="159"/>
      <c r="V75" s="9"/>
      <c r="W75" s="9"/>
      <c r="X75" s="9"/>
      <c r="Y75" s="9"/>
      <c r="Z75" s="9"/>
    </row>
    <row r="76" ht="12.75" customHeight="1">
      <c r="A76" s="9"/>
      <c r="B76" s="9"/>
      <c r="C76" s="1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59"/>
      <c r="U76" s="159"/>
      <c r="V76" s="9"/>
      <c r="W76" s="9"/>
      <c r="X76" s="9"/>
      <c r="Y76" s="9"/>
      <c r="Z76" s="9"/>
    </row>
    <row r="77" ht="12.75" customHeight="1">
      <c r="A77" s="9"/>
      <c r="B77" s="9"/>
      <c r="C77" s="1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59"/>
      <c r="U77" s="159"/>
      <c r="V77" s="9"/>
      <c r="W77" s="9"/>
      <c r="X77" s="9"/>
      <c r="Y77" s="9"/>
      <c r="Z77" s="9"/>
    </row>
    <row r="78" ht="12.75" customHeight="1">
      <c r="A78" s="9"/>
      <c r="B78" s="9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1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1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1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1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1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1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1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1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1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1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1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1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1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1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1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1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1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1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1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1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1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1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1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1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1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1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1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1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1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1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1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1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1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1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1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1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1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1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1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1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1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1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1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1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1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1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1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1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1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1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1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1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1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1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1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1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1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1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1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1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1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1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1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1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1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1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1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1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1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1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1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1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1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1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1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1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1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1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1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1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1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1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1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1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1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1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1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1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1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1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1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1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1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1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1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1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1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1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1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1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1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1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1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1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1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1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1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1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1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1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1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1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1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1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1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1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1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1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1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1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1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1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1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1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1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1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1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1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1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1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1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1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1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1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1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1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1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1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1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1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1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1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1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1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1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1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1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1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1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1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1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1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1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1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1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1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1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1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1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1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1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1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1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1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1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1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1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1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1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1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1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1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1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1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1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1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1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1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1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1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1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1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1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1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1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1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1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1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1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1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1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1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1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1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1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1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1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1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1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1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1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1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1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1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1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1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1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1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1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1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1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1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1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1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1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1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1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1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1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1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1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1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1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1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1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1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1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1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1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1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1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1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1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1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1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1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1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1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1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1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1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1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1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1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1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1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1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1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1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1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1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1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1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1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1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1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1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1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1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1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1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1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1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1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1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1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1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1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1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1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1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1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1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1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1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1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1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1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1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1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1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1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1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1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1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1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1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1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1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1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1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1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1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1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1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1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1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1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1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1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1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1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1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1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1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1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1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1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1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1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1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1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1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1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1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1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1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1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1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1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1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1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1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1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1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1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1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1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1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1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1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1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1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1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1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1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1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1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1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1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1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1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1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1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1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1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1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1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1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1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1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1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1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1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1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1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1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1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1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1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1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1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1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1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1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1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1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1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1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1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1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1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1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1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1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1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1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1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1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1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1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1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1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1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1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1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1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1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1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1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1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1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1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1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1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1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1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1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1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1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1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1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1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1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1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1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1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1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1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1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1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1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1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1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1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1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1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1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1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1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1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1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1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1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1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1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1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1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1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1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1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1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1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1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1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1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1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1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1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1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1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1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1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1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1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1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1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1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1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1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1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1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1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1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1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1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1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1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1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1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1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1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1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1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1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1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1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1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1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1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1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1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1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1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1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1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1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1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1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1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1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1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1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1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1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1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1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1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1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1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1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1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1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1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1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1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1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1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1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1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1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1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1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1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1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1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1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1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1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1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1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1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1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1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1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1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1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1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1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1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1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1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1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1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1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1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1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1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1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1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1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1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1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1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1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1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1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1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1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1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1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1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1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1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1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1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1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1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1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1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1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1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1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1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1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1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1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1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1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1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1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1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1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1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1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1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1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1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1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1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1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1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1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1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1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1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1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1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1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1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1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1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1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1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1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1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1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1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1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1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1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1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1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1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1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1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1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1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1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1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1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1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1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1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1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1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1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1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1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1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1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1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1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1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1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1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1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1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1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1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1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1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1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1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1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1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1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1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1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1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1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1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1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1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1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1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1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1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1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1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1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1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1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1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1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1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1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1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1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1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1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1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1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1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1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1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1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1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1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1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1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1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1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1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1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1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1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1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1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1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1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1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1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1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1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1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1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1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1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1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1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1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1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1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1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1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1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1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1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1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1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1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1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1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1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1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1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1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1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1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1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1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1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1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1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1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1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1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1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1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1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1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1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1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1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1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1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1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1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1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1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1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1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1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1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1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1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1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1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1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1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1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1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1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1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1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1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1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1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1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1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1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1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1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1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1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1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1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1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1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1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1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1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1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1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1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1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1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1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1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1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1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1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1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1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1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1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1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1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1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1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1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1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1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1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1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1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1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1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1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1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1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1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1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1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1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1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1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1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1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1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1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1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1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1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1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1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1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1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1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1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1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1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1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1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1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1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1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1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1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1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1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1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1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1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1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1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1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1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1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1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1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1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1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1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1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1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1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1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1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1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1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1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1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1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1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1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1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1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10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10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10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10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10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10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10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5">
    <mergeCell ref="E3:P3"/>
    <mergeCell ref="U3:U4"/>
    <mergeCell ref="B4:B6"/>
    <mergeCell ref="C4:C6"/>
    <mergeCell ref="B10:R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min="2" max="2" width="31.88"/>
    <col customWidth="1" min="3" max="3" width="10.38"/>
    <col customWidth="1" hidden="1" min="4" max="11" width="9.13"/>
    <col customWidth="1" hidden="1" min="12" max="12" width="11.5"/>
    <col customWidth="1" hidden="1" min="13" max="15" width="9.13"/>
    <col customWidth="1" min="16" max="16" width="21.0"/>
    <col customWidth="1" min="17" max="17" width="27.0"/>
    <col customWidth="1" min="18" max="18" width="19.13"/>
    <col customWidth="1" hidden="1" min="19" max="19" width="9.13"/>
    <col customWidth="1" hidden="1" min="20" max="20" width="71.63"/>
    <col customWidth="1" min="21" max="26" width="9.13"/>
  </cols>
  <sheetData>
    <row r="1" ht="21.0" customHeight="1">
      <c r="A1" s="1"/>
      <c r="B1" s="3" t="s">
        <v>290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8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9"/>
      <c r="B2" s="9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194"/>
      <c r="B3" s="195" t="s">
        <v>291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7"/>
      <c r="P3" s="198" t="s">
        <v>20</v>
      </c>
      <c r="Q3" s="199" t="s">
        <v>21</v>
      </c>
      <c r="R3" s="199" t="s">
        <v>22</v>
      </c>
      <c r="S3" s="13"/>
      <c r="T3" s="25"/>
      <c r="U3" s="194"/>
      <c r="V3" s="194"/>
      <c r="W3" s="194"/>
      <c r="X3" s="194"/>
      <c r="Y3" s="194"/>
      <c r="Z3" s="194"/>
    </row>
    <row r="4" ht="24.0" customHeight="1">
      <c r="A4" s="9"/>
      <c r="B4" s="200" t="s">
        <v>292</v>
      </c>
      <c r="C4" s="201" t="s">
        <v>4</v>
      </c>
      <c r="D4" s="177" t="s">
        <v>40</v>
      </c>
      <c r="E4" s="177" t="s">
        <v>42</v>
      </c>
      <c r="F4" s="177" t="s">
        <v>44</v>
      </c>
      <c r="G4" s="177" t="s">
        <v>45</v>
      </c>
      <c r="H4" s="177" t="s">
        <v>46</v>
      </c>
      <c r="I4" s="177" t="s">
        <v>47</v>
      </c>
      <c r="J4" s="177" t="s">
        <v>48</v>
      </c>
      <c r="K4" s="177" t="s">
        <v>49</v>
      </c>
      <c r="L4" s="177" t="s">
        <v>50</v>
      </c>
      <c r="M4" s="177" t="s">
        <v>51</v>
      </c>
      <c r="N4" s="177" t="s">
        <v>52</v>
      </c>
      <c r="O4" s="202" t="s">
        <v>53</v>
      </c>
      <c r="P4" s="203" t="s">
        <v>7</v>
      </c>
      <c r="Q4" s="204" t="s">
        <v>293</v>
      </c>
      <c r="R4" s="204" t="s">
        <v>294</v>
      </c>
      <c r="S4" s="9"/>
      <c r="T4" s="43"/>
      <c r="U4" s="9"/>
      <c r="V4" s="9"/>
      <c r="W4" s="9"/>
      <c r="X4" s="9"/>
      <c r="Y4" s="9"/>
      <c r="Z4" s="9"/>
    </row>
    <row r="5" ht="12.75" customHeight="1">
      <c r="A5" s="9"/>
      <c r="B5" s="105"/>
      <c r="C5" s="205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7"/>
      <c r="P5" s="105"/>
      <c r="Q5" s="208" t="s">
        <v>295</v>
      </c>
      <c r="R5" s="182" t="s">
        <v>296</v>
      </c>
      <c r="S5" s="9"/>
      <c r="T5" s="48"/>
      <c r="U5" s="9"/>
      <c r="V5" s="9"/>
      <c r="W5" s="9"/>
      <c r="X5" s="9"/>
      <c r="Y5" s="9"/>
      <c r="Z5" s="9"/>
    </row>
    <row r="6" ht="12.75" customHeight="1">
      <c r="A6" s="9"/>
      <c r="B6" s="209"/>
      <c r="C6" s="210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11"/>
      <c r="Q6" s="179"/>
      <c r="R6" s="179" t="s">
        <v>297</v>
      </c>
      <c r="S6" s="58"/>
      <c r="T6" s="59"/>
      <c r="U6" s="9"/>
      <c r="V6" s="9"/>
      <c r="W6" s="9"/>
      <c r="X6" s="9"/>
      <c r="Y6" s="9"/>
      <c r="Z6" s="9"/>
    </row>
    <row r="7" ht="12.75" customHeight="1">
      <c r="A7" s="9"/>
      <c r="B7" s="212" t="s">
        <v>298</v>
      </c>
      <c r="C7" s="213" t="s">
        <v>205</v>
      </c>
      <c r="D7" s="214">
        <v>1503.05</v>
      </c>
      <c r="E7" s="214">
        <v>990.8</v>
      </c>
      <c r="F7" s="214">
        <v>1235.86</v>
      </c>
      <c r="G7" s="214">
        <v>1130.37</v>
      </c>
      <c r="H7" s="214">
        <v>1394.74</v>
      </c>
      <c r="I7" s="214">
        <v>773.13</v>
      </c>
      <c r="J7" s="214">
        <v>862.17</v>
      </c>
      <c r="K7" s="214">
        <v>1031.0</v>
      </c>
      <c r="L7" s="214">
        <v>647.08</v>
      </c>
      <c r="M7" s="214">
        <v>945.48</v>
      </c>
      <c r="N7" s="214">
        <v>1134.99</v>
      </c>
      <c r="O7" s="214"/>
      <c r="P7" s="215">
        <f t="shared" ref="P7:P17" si="1">SUM(D7:O7)</f>
        <v>11648.67</v>
      </c>
      <c r="Q7" s="216">
        <v>0.43971</v>
      </c>
      <c r="R7" s="217">
        <f t="shared" ref="R7:R10" si="2">P7*Q7</f>
        <v>5122.036686</v>
      </c>
      <c r="S7" s="58"/>
      <c r="T7" s="66"/>
      <c r="U7" s="9"/>
      <c r="V7" s="9"/>
      <c r="W7" s="9"/>
      <c r="X7" s="9"/>
      <c r="Y7" s="9"/>
      <c r="Z7" s="9"/>
    </row>
    <row r="8" ht="38.25" customHeight="1">
      <c r="A8" s="9"/>
      <c r="B8" s="218" t="s">
        <v>299</v>
      </c>
      <c r="C8" s="219" t="s">
        <v>205</v>
      </c>
      <c r="D8" s="220">
        <v>0.45</v>
      </c>
      <c r="E8" s="220">
        <v>1.48</v>
      </c>
      <c r="F8" s="220">
        <v>0.53</v>
      </c>
      <c r="G8" s="220">
        <v>0.17</v>
      </c>
      <c r="H8" s="220">
        <v>0.17</v>
      </c>
      <c r="I8" s="220">
        <v>2.01</v>
      </c>
      <c r="J8" s="220">
        <v>0.88</v>
      </c>
      <c r="K8" s="220">
        <v>6.13</v>
      </c>
      <c r="L8" s="220">
        <v>4.5</v>
      </c>
      <c r="M8" s="220">
        <v>0.05</v>
      </c>
      <c r="N8" s="220">
        <v>1.26</v>
      </c>
      <c r="O8" s="220"/>
      <c r="P8" s="221">
        <f t="shared" si="1"/>
        <v>17.63</v>
      </c>
      <c r="Q8" s="222"/>
      <c r="R8" s="223">
        <f t="shared" si="2"/>
        <v>0</v>
      </c>
      <c r="S8" s="58"/>
      <c r="T8" s="66"/>
      <c r="U8" s="9"/>
      <c r="V8" s="9"/>
      <c r="W8" s="9"/>
      <c r="X8" s="9"/>
      <c r="Y8" s="9"/>
      <c r="Z8" s="9"/>
    </row>
    <row r="9" ht="12.75" customHeight="1">
      <c r="A9" s="9"/>
      <c r="B9" s="218" t="s">
        <v>300</v>
      </c>
      <c r="C9" s="219" t="s">
        <v>301</v>
      </c>
      <c r="D9" s="224">
        <v>188.0</v>
      </c>
      <c r="E9" s="224">
        <v>188.0</v>
      </c>
      <c r="F9" s="224">
        <v>188.0</v>
      </c>
      <c r="G9" s="224">
        <v>188.0</v>
      </c>
      <c r="H9" s="224">
        <v>188.0</v>
      </c>
      <c r="I9" s="224">
        <v>188.0</v>
      </c>
      <c r="J9" s="224">
        <v>188.0</v>
      </c>
      <c r="K9" s="224">
        <v>188.0</v>
      </c>
      <c r="L9" s="224">
        <v>188.0</v>
      </c>
      <c r="M9" s="224">
        <v>188.0</v>
      </c>
      <c r="N9" s="224">
        <v>188.0</v>
      </c>
      <c r="O9" s="224"/>
      <c r="P9" s="221">
        <f t="shared" si="1"/>
        <v>2068</v>
      </c>
      <c r="Q9" s="224"/>
      <c r="R9" s="223">
        <f t="shared" si="2"/>
        <v>0</v>
      </c>
      <c r="S9" s="191"/>
      <c r="T9" s="66"/>
      <c r="U9" s="9"/>
      <c r="V9" s="9"/>
      <c r="W9" s="9"/>
      <c r="X9" s="9"/>
      <c r="Y9" s="9"/>
      <c r="Z9" s="9"/>
    </row>
    <row r="10" ht="12.75" customHeight="1">
      <c r="A10" s="9"/>
      <c r="B10" s="218" t="s">
        <v>302</v>
      </c>
      <c r="C10" s="219" t="s">
        <v>209</v>
      </c>
      <c r="D10" s="224">
        <v>41.4</v>
      </c>
      <c r="E10" s="224">
        <v>160.0</v>
      </c>
      <c r="F10" s="224"/>
      <c r="G10" s="224">
        <v>40.0</v>
      </c>
      <c r="H10" s="224">
        <v>14.0</v>
      </c>
      <c r="I10" s="224">
        <v>35.0</v>
      </c>
      <c r="J10" s="224">
        <v>20.0</v>
      </c>
      <c r="K10" s="224">
        <v>75.0</v>
      </c>
      <c r="L10" s="224">
        <v>35.0</v>
      </c>
      <c r="M10" s="224">
        <v>91.0</v>
      </c>
      <c r="N10" s="224">
        <v>6.0</v>
      </c>
      <c r="O10" s="224"/>
      <c r="P10" s="221">
        <f t="shared" si="1"/>
        <v>517.4</v>
      </c>
      <c r="Q10" s="224"/>
      <c r="R10" s="223">
        <f t="shared" si="2"/>
        <v>0</v>
      </c>
      <c r="S10" s="191"/>
      <c r="T10" s="66"/>
      <c r="U10" s="9"/>
      <c r="V10" s="9"/>
      <c r="W10" s="9"/>
      <c r="X10" s="9"/>
      <c r="Y10" s="9"/>
      <c r="Z10" s="9"/>
    </row>
    <row r="11" ht="12.75" customHeight="1">
      <c r="A11" s="9"/>
      <c r="B11" s="218" t="s">
        <v>303</v>
      </c>
      <c r="C11" s="219" t="s">
        <v>209</v>
      </c>
      <c r="D11" s="224">
        <v>2880.0</v>
      </c>
      <c r="E11" s="224">
        <v>3500.0</v>
      </c>
      <c r="F11" s="224">
        <v>3240.0</v>
      </c>
      <c r="G11" s="224">
        <v>3060.0</v>
      </c>
      <c r="H11" s="224">
        <v>5660.0</v>
      </c>
      <c r="I11" s="224">
        <v>4140.0</v>
      </c>
      <c r="J11" s="224">
        <v>5300.0</v>
      </c>
      <c r="K11" s="224">
        <v>4580.0</v>
      </c>
      <c r="L11" s="224">
        <v>3510.0</v>
      </c>
      <c r="M11" s="224">
        <v>2700.0</v>
      </c>
      <c r="N11" s="224">
        <v>5390.0</v>
      </c>
      <c r="O11" s="224"/>
      <c r="P11" s="221">
        <f t="shared" si="1"/>
        <v>43960</v>
      </c>
      <c r="Q11" s="224"/>
      <c r="R11" s="225"/>
      <c r="S11" s="191"/>
      <c r="T11" s="109"/>
      <c r="U11" s="9"/>
      <c r="V11" s="9"/>
      <c r="W11" s="9"/>
      <c r="X11" s="9"/>
      <c r="Y11" s="9"/>
      <c r="Z11" s="9"/>
    </row>
    <row r="12" ht="12.75" customHeight="1">
      <c r="A12" s="9"/>
      <c r="B12" s="218" t="s">
        <v>304</v>
      </c>
      <c r="C12" s="219" t="s">
        <v>209</v>
      </c>
      <c r="D12" s="218">
        <v>83.0</v>
      </c>
      <c r="E12" s="218">
        <v>13.0</v>
      </c>
      <c r="F12" s="218">
        <v>50.0</v>
      </c>
      <c r="G12" s="218">
        <v>50.0</v>
      </c>
      <c r="H12" s="218">
        <v>63.0</v>
      </c>
      <c r="I12" s="218">
        <v>50.0</v>
      </c>
      <c r="J12" s="218">
        <v>75.0</v>
      </c>
      <c r="K12" s="218">
        <v>50.0</v>
      </c>
      <c r="L12" s="218">
        <v>38.0</v>
      </c>
      <c r="M12" s="218">
        <v>0.0</v>
      </c>
      <c r="N12" s="218">
        <v>0.0</v>
      </c>
      <c r="O12" s="218"/>
      <c r="P12" s="221">
        <f t="shared" si="1"/>
        <v>472</v>
      </c>
      <c r="Q12" s="218"/>
      <c r="R12" s="218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218" t="s">
        <v>305</v>
      </c>
      <c r="C13" s="219" t="s">
        <v>209</v>
      </c>
      <c r="D13" s="218">
        <v>0.0</v>
      </c>
      <c r="E13" s="218">
        <v>0.0</v>
      </c>
      <c r="F13" s="218">
        <v>0.0</v>
      </c>
      <c r="G13" s="218">
        <v>0.0</v>
      </c>
      <c r="H13" s="218">
        <v>0.0</v>
      </c>
      <c r="I13" s="218">
        <v>0.0</v>
      </c>
      <c r="J13" s="218">
        <v>0.0</v>
      </c>
      <c r="K13" s="218">
        <v>0.0</v>
      </c>
      <c r="L13" s="218">
        <v>0.0</v>
      </c>
      <c r="M13" s="218">
        <v>50.0</v>
      </c>
      <c r="N13" s="218">
        <v>125.0</v>
      </c>
      <c r="O13" s="218"/>
      <c r="P13" s="221">
        <f t="shared" si="1"/>
        <v>175</v>
      </c>
      <c r="Q13" s="218"/>
      <c r="R13" s="218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218" t="s">
        <v>306</v>
      </c>
      <c r="C14" s="219" t="s">
        <v>209</v>
      </c>
      <c r="D14" s="218">
        <v>0.0</v>
      </c>
      <c r="E14" s="218">
        <v>0.0</v>
      </c>
      <c r="F14" s="218">
        <v>0.0</v>
      </c>
      <c r="G14" s="218">
        <v>0.0</v>
      </c>
      <c r="H14" s="218">
        <v>0.0</v>
      </c>
      <c r="I14" s="218">
        <v>0.0</v>
      </c>
      <c r="J14" s="218">
        <v>0.0</v>
      </c>
      <c r="K14" s="218">
        <v>0.0</v>
      </c>
      <c r="L14" s="218">
        <v>137.0</v>
      </c>
      <c r="M14" s="218">
        <v>0.0</v>
      </c>
      <c r="N14" s="218">
        <v>0.0</v>
      </c>
      <c r="O14" s="218"/>
      <c r="P14" s="221">
        <f t="shared" si="1"/>
        <v>137</v>
      </c>
      <c r="Q14" s="218"/>
      <c r="R14" s="218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218" t="s">
        <v>307</v>
      </c>
      <c r="C15" s="219" t="s">
        <v>209</v>
      </c>
      <c r="D15" s="218">
        <v>42.0</v>
      </c>
      <c r="E15" s="218">
        <v>42.0</v>
      </c>
      <c r="F15" s="218">
        <v>42.0</v>
      </c>
      <c r="G15" s="218">
        <v>42.0</v>
      </c>
      <c r="H15" s="218">
        <v>42.0</v>
      </c>
      <c r="I15" s="218">
        <v>42.0</v>
      </c>
      <c r="J15" s="218">
        <v>42.0</v>
      </c>
      <c r="K15" s="218">
        <v>42.0</v>
      </c>
      <c r="L15" s="218">
        <v>42.0</v>
      </c>
      <c r="M15" s="218">
        <v>42.0</v>
      </c>
      <c r="N15" s="218">
        <v>42.0</v>
      </c>
      <c r="O15" s="218"/>
      <c r="P15" s="221">
        <f t="shared" si="1"/>
        <v>462</v>
      </c>
      <c r="Q15" s="218"/>
      <c r="R15" s="218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218" t="s">
        <v>308</v>
      </c>
      <c r="C16" s="219" t="s">
        <v>209</v>
      </c>
      <c r="D16" s="218">
        <v>450.0</v>
      </c>
      <c r="E16" s="218">
        <v>350.0</v>
      </c>
      <c r="F16" s="218">
        <v>300.0</v>
      </c>
      <c r="G16" s="218">
        <v>225.0</v>
      </c>
      <c r="H16" s="218">
        <v>400.0</v>
      </c>
      <c r="I16" s="218">
        <v>275.0</v>
      </c>
      <c r="J16" s="218">
        <v>375.0</v>
      </c>
      <c r="K16" s="218">
        <v>475.0</v>
      </c>
      <c r="L16" s="218">
        <v>50.0</v>
      </c>
      <c r="M16" s="218">
        <v>75.0</v>
      </c>
      <c r="N16" s="218">
        <v>125.0</v>
      </c>
      <c r="O16" s="218"/>
      <c r="P16" s="221">
        <f t="shared" si="1"/>
        <v>3100</v>
      </c>
      <c r="Q16" s="218"/>
      <c r="R16" s="218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226" t="s">
        <v>309</v>
      </c>
      <c r="C17" s="227" t="s">
        <v>209</v>
      </c>
      <c r="D17" s="226">
        <v>25.0</v>
      </c>
      <c r="E17" s="226">
        <v>0.0</v>
      </c>
      <c r="F17" s="226">
        <v>100.0</v>
      </c>
      <c r="G17" s="226">
        <v>25.0</v>
      </c>
      <c r="H17" s="226">
        <v>0.0</v>
      </c>
      <c r="I17" s="226">
        <v>25.0</v>
      </c>
      <c r="J17" s="226">
        <v>25.0</v>
      </c>
      <c r="K17" s="226">
        <v>25.0</v>
      </c>
      <c r="L17" s="226">
        <v>50.0</v>
      </c>
      <c r="M17" s="226">
        <v>75.0</v>
      </c>
      <c r="N17" s="226">
        <v>125.0</v>
      </c>
      <c r="O17" s="226"/>
      <c r="P17" s="228">
        <f t="shared" si="1"/>
        <v>475</v>
      </c>
      <c r="Q17" s="226"/>
      <c r="R17" s="226"/>
      <c r="S17" s="9"/>
      <c r="T17" s="9"/>
      <c r="U17" s="9"/>
      <c r="V17" s="9"/>
      <c r="W17" s="9"/>
      <c r="X17" s="9"/>
      <c r="Y17" s="9"/>
      <c r="Z17" s="9"/>
    </row>
    <row r="18" ht="24.75" customHeight="1">
      <c r="A18" s="229"/>
      <c r="B18" s="230" t="s">
        <v>247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  <c r="R18" s="231">
        <f>SUM(R7:R17)</f>
        <v>5122.036686</v>
      </c>
      <c r="S18" s="103"/>
      <c r="T18" s="103"/>
      <c r="U18" s="229"/>
      <c r="V18" s="229"/>
      <c r="W18" s="229"/>
      <c r="X18" s="229"/>
      <c r="Y18" s="229"/>
      <c r="Z18" s="229"/>
    </row>
    <row r="19" ht="12.75" customHeight="1">
      <c r="A19" s="9"/>
      <c r="B19" s="9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1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1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1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1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4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56"/>
      <c r="T67" s="156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59"/>
      <c r="T69" s="15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59"/>
      <c r="T70" s="15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59"/>
      <c r="T71" s="15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59"/>
      <c r="T72" s="15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1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59"/>
      <c r="T73" s="15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59"/>
      <c r="T74" s="15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59"/>
      <c r="T75" s="15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1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59"/>
      <c r="T76" s="15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1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59"/>
      <c r="T77" s="15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1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1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1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1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1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1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1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1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1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1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1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1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1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1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1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1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1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1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1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1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1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1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1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1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1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1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1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1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1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1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1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1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1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1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1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1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1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1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1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1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1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1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1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1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1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1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1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1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1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1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1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1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1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1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1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1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1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1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1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1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1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1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1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1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1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1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1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1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1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1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1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1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1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1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1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1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1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1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1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1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1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1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1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1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1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1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1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1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1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1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1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1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1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1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1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1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1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1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1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1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1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1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1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1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1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1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1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1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1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1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1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1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1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1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1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1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1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1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1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1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1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1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1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1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1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1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1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1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1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1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1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1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1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1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1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1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1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1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1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1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1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1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1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1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1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1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1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1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1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1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1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1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1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1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1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1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1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1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1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1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1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1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1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1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1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1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1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1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1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1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1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1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1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1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1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1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1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1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1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1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1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1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1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1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1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1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1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1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1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1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1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1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1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1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1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1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1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1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1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1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1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1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1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1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1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1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1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1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1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1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1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1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1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1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1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1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1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1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1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1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1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1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1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1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1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1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1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1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1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1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1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1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1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1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1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1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1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1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1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1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1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1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1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1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1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1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1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1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1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1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1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1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1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1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1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1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1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1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1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1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1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1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1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1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1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1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1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1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1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1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1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1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1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1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1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1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1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1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1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1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1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1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1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1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1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1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1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1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1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1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1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1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1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1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1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1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1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1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1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1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1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1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1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1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1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1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1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1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1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1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1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1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1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1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1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1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1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1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1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1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1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1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1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1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1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1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1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1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1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1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1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1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1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1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1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1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1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1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1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1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1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1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1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1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1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1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1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1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1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1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1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1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1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1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1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1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1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1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1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1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1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1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1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1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1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1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1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1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1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1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1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1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1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1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1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1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1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1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1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1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1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1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1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1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1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1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1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1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1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1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1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1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1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1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1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1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1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1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1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1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1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1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1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1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1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1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1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1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1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1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1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1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1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1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1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1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1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1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1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1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1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1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1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1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1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1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1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1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1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1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1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1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1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1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1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1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1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1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1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1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1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1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1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1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1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1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1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1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1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1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1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1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1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1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1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1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1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1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1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1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1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1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1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1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1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1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1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1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1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1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1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1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1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1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1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1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1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1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1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1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1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1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1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1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1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1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1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1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1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1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1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1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1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1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1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1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1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1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1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1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1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1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1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1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1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1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1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1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1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1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1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1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1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1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1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1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1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1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1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1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1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1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1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1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1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1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1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1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1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1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1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1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1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1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1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1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1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1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1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1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1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1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1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1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1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1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1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1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1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1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1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1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1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1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1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1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1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1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1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1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1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1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1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1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1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1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1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1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1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1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1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1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1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1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1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1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1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1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1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1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1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1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1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1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1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1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1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1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1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1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1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1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1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1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1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1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1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1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1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1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1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1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1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1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1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1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1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1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1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1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1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1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1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1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1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1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1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1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1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1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1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1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1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1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1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1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1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1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1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1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1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1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1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1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1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1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1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1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1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1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1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1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1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1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1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1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1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1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1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1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1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1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1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1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1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1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1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1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1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1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1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1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1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1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1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1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1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1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1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1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1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1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1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1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1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1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1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1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1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1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1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1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1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1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1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1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1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1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1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1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1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1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1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1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1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1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1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1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1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1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1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1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1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1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1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1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1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1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1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1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1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1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1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1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1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1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1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1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1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1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1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1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1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1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1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1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1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1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1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1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1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1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1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1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1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1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1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1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1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1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1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1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1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1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1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1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1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1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1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1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1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1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1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1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1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1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1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1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1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1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1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1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1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1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1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1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1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1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1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1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1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1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1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1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1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1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1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1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1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1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1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1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1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1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1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1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1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1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1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1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1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1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1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1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1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1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1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1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1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1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1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1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1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1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1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1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1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1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1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1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1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1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1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1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1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1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1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1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1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1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1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1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1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1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1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1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1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1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1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1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1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1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1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1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1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1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1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1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1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10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10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10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10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10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10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10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O3"/>
    <mergeCell ref="T3:T4"/>
    <mergeCell ref="B4:B5"/>
    <mergeCell ref="C4:C5"/>
    <mergeCell ref="P4:P5"/>
    <mergeCell ref="B18:Q18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9.88"/>
    <col customWidth="1" min="3" max="3" width="9.0"/>
    <col customWidth="1" hidden="1" min="4" max="15" width="11.88"/>
    <col customWidth="1" min="16" max="16" width="22.5"/>
    <col customWidth="1" min="17" max="17" width="16.38"/>
    <col customWidth="1" min="18" max="18" width="23.88"/>
    <col customWidth="1" min="19" max="20" width="18.0"/>
    <col customWidth="1" min="21" max="23" width="15.5"/>
    <col customWidth="1" min="24" max="24" width="19.5"/>
    <col customWidth="1" min="25" max="25" width="19.63"/>
    <col customWidth="1" hidden="1" min="26" max="26" width="9.13"/>
    <col customWidth="1" hidden="1" min="27" max="27" width="71.63"/>
    <col customWidth="1" min="28" max="28" width="9.13"/>
  </cols>
  <sheetData>
    <row r="1" ht="21.75" customHeight="1">
      <c r="A1" s="1"/>
      <c r="B1" s="3" t="s">
        <v>310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1"/>
      <c r="AA1" s="1"/>
      <c r="AB1" s="1"/>
    </row>
    <row r="2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0.25" customHeight="1">
      <c r="A3" s="9"/>
      <c r="B3" s="232" t="s">
        <v>69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2.5" customHeight="1">
      <c r="A4" s="194"/>
      <c r="B4" s="232">
        <v>2024.0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199" t="s">
        <v>20</v>
      </c>
      <c r="Q4" s="233" t="s">
        <v>21</v>
      </c>
      <c r="R4" s="199" t="s">
        <v>22</v>
      </c>
      <c r="S4" s="199" t="s">
        <v>23</v>
      </c>
      <c r="T4" s="199" t="s">
        <v>25</v>
      </c>
      <c r="U4" s="199" t="s">
        <v>26</v>
      </c>
      <c r="V4" s="199" t="s">
        <v>28</v>
      </c>
      <c r="W4" s="199" t="s">
        <v>30</v>
      </c>
      <c r="X4" s="199" t="s">
        <v>32</v>
      </c>
      <c r="Y4" s="76" t="s">
        <v>35</v>
      </c>
      <c r="Z4" s="13"/>
      <c r="AA4" s="25"/>
      <c r="AB4" s="194"/>
    </row>
    <row r="5" ht="12.75" customHeight="1">
      <c r="A5" s="9"/>
      <c r="B5" s="234" t="s">
        <v>311</v>
      </c>
      <c r="C5" s="235" t="s">
        <v>4</v>
      </c>
      <c r="D5" s="235" t="s">
        <v>40</v>
      </c>
      <c r="E5" s="235" t="s">
        <v>42</v>
      </c>
      <c r="F5" s="235" t="s">
        <v>44</v>
      </c>
      <c r="G5" s="235" t="s">
        <v>45</v>
      </c>
      <c r="H5" s="235" t="s">
        <v>46</v>
      </c>
      <c r="I5" s="235" t="s">
        <v>47</v>
      </c>
      <c r="J5" s="235" t="s">
        <v>48</v>
      </c>
      <c r="K5" s="235" t="s">
        <v>49</v>
      </c>
      <c r="L5" s="235" t="s">
        <v>50</v>
      </c>
      <c r="M5" s="235" t="s">
        <v>51</v>
      </c>
      <c r="N5" s="235" t="s">
        <v>52</v>
      </c>
      <c r="O5" s="235" t="s">
        <v>53</v>
      </c>
      <c r="P5" s="236" t="s">
        <v>312</v>
      </c>
      <c r="Q5" s="236" t="s">
        <v>313</v>
      </c>
      <c r="R5" s="236" t="s">
        <v>314</v>
      </c>
      <c r="S5" s="182" t="s">
        <v>315</v>
      </c>
      <c r="T5" s="182" t="s">
        <v>316</v>
      </c>
      <c r="U5" s="182" t="s">
        <v>317</v>
      </c>
      <c r="V5" s="182" t="s">
        <v>318</v>
      </c>
      <c r="W5" s="182" t="s">
        <v>319</v>
      </c>
      <c r="X5" s="182" t="s">
        <v>320</v>
      </c>
      <c r="Y5" s="174" t="s">
        <v>321</v>
      </c>
      <c r="Z5" s="9"/>
      <c r="AA5" s="43"/>
      <c r="AB5" s="9"/>
    </row>
    <row r="6" ht="12.75" customHeight="1">
      <c r="A6" s="9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182" t="s">
        <v>322</v>
      </c>
      <c r="Q6" s="182" t="s">
        <v>323</v>
      </c>
      <c r="R6" s="182" t="s">
        <v>324</v>
      </c>
      <c r="S6" s="182" t="s">
        <v>325</v>
      </c>
      <c r="T6" s="182" t="s">
        <v>326</v>
      </c>
      <c r="U6" s="182" t="s">
        <v>327</v>
      </c>
      <c r="V6" s="182" t="s">
        <v>328</v>
      </c>
      <c r="W6" s="182" t="s">
        <v>329</v>
      </c>
      <c r="X6" s="182" t="s">
        <v>330</v>
      </c>
      <c r="Y6" s="105"/>
      <c r="Z6" s="9"/>
      <c r="AA6" s="48"/>
      <c r="AB6" s="9"/>
    </row>
    <row r="7" ht="41.25" customHeight="1">
      <c r="A7" s="9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182" t="s">
        <v>331</v>
      </c>
      <c r="Q7" s="182" t="s">
        <v>332</v>
      </c>
      <c r="R7" s="182" t="s">
        <v>333</v>
      </c>
      <c r="S7" s="182" t="s">
        <v>334</v>
      </c>
      <c r="T7" s="182" t="s">
        <v>335</v>
      </c>
      <c r="U7" s="182" t="s">
        <v>336</v>
      </c>
      <c r="V7" s="182" t="s">
        <v>337</v>
      </c>
      <c r="W7" s="182" t="s">
        <v>338</v>
      </c>
      <c r="X7" s="182" t="s">
        <v>339</v>
      </c>
      <c r="Y7" s="199" t="s">
        <v>340</v>
      </c>
      <c r="Z7" s="58"/>
      <c r="AA7" s="59"/>
      <c r="AB7" s="9"/>
    </row>
    <row r="8" ht="12.75" customHeight="1">
      <c r="A8" s="9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179"/>
      <c r="Q8" s="179"/>
      <c r="R8" s="179" t="s">
        <v>297</v>
      </c>
      <c r="S8" s="237"/>
      <c r="T8" s="237"/>
      <c r="U8" s="237" t="s">
        <v>341</v>
      </c>
      <c r="V8" s="179"/>
      <c r="W8" s="179"/>
      <c r="X8" s="179" t="s">
        <v>342</v>
      </c>
      <c r="Y8" s="171" t="s">
        <v>343</v>
      </c>
      <c r="Z8" s="58"/>
      <c r="AA8" s="66"/>
      <c r="AB8" s="9"/>
    </row>
    <row r="9" ht="18.75" customHeight="1">
      <c r="A9" s="9"/>
      <c r="B9" s="213"/>
      <c r="C9" s="213" t="s">
        <v>344</v>
      </c>
      <c r="D9" s="214">
        <v>2380.0</v>
      </c>
      <c r="E9" s="214">
        <v>2311.0</v>
      </c>
      <c r="F9" s="214">
        <v>2470.0</v>
      </c>
      <c r="G9" s="214">
        <v>2386.0</v>
      </c>
      <c r="H9" s="214">
        <v>2474.0</v>
      </c>
      <c r="I9" s="214">
        <v>2391.0</v>
      </c>
      <c r="J9" s="214">
        <v>2477.0</v>
      </c>
      <c r="K9" s="214">
        <v>2470.0</v>
      </c>
      <c r="L9" s="214">
        <v>2394.0</v>
      </c>
      <c r="M9" s="214">
        <v>2472.0</v>
      </c>
      <c r="N9" s="214">
        <v>2388.0</v>
      </c>
      <c r="O9" s="214">
        <v>1447.0</v>
      </c>
      <c r="P9" s="215">
        <f>SUM(D9:O9)</f>
        <v>28060</v>
      </c>
      <c r="Q9" s="238">
        <f>AVERAGE(14,20,8,12)/1000</f>
        <v>0.0135</v>
      </c>
      <c r="R9" s="217">
        <f t="shared" ref="R9:R12" si="1">P9*Q9</f>
        <v>378.81</v>
      </c>
      <c r="S9" s="239">
        <v>0.6</v>
      </c>
      <c r="T9" s="240">
        <v>0.3</v>
      </c>
      <c r="U9" s="217">
        <f t="shared" ref="U9:U12" si="2">S9*T9</f>
        <v>0.18</v>
      </c>
      <c r="V9" s="241">
        <v>0.0</v>
      </c>
      <c r="W9" s="241">
        <v>0.0</v>
      </c>
      <c r="X9" s="242">
        <f t="shared" ref="X9:X12" si="3">((R9-V9)*U9)-W9</f>
        <v>68.1858</v>
      </c>
      <c r="Y9" s="217">
        <f t="shared" ref="Y9:Y12" si="4">X9*28/1000</f>
        <v>1.9092024</v>
      </c>
      <c r="Z9" s="58"/>
      <c r="AA9" s="66"/>
      <c r="AB9" s="9"/>
    </row>
    <row r="10" ht="12.75" customHeight="1">
      <c r="A10" s="9"/>
      <c r="B10" s="213"/>
      <c r="C10" s="213" t="s">
        <v>345</v>
      </c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5"/>
      <c r="Q10" s="243"/>
      <c r="R10" s="244">
        <f t="shared" si="1"/>
        <v>0</v>
      </c>
      <c r="S10" s="245"/>
      <c r="T10" s="246"/>
      <c r="U10" s="245">
        <f t="shared" si="2"/>
        <v>0</v>
      </c>
      <c r="V10" s="245">
        <v>0.0</v>
      </c>
      <c r="W10" s="241">
        <v>0.0</v>
      </c>
      <c r="X10" s="246">
        <f t="shared" si="3"/>
        <v>0</v>
      </c>
      <c r="Y10" s="242">
        <f t="shared" si="4"/>
        <v>0</v>
      </c>
      <c r="Z10" s="191"/>
      <c r="AA10" s="66"/>
      <c r="AB10" s="9"/>
    </row>
    <row r="11" ht="12.75" customHeight="1">
      <c r="A11" s="9"/>
      <c r="B11" s="242"/>
      <c r="C11" s="213" t="s">
        <v>346</v>
      </c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7"/>
      <c r="R11" s="217">
        <f t="shared" si="1"/>
        <v>0</v>
      </c>
      <c r="S11" s="241"/>
      <c r="T11" s="241"/>
      <c r="U11" s="241">
        <f t="shared" si="2"/>
        <v>0</v>
      </c>
      <c r="V11" s="248">
        <v>0.0</v>
      </c>
      <c r="W11" s="241">
        <v>0.0</v>
      </c>
      <c r="X11" s="249">
        <f t="shared" si="3"/>
        <v>0</v>
      </c>
      <c r="Y11" s="250">
        <f t="shared" si="4"/>
        <v>0</v>
      </c>
      <c r="Z11" s="191"/>
      <c r="AA11" s="66"/>
      <c r="AB11" s="9"/>
    </row>
    <row r="12" ht="12.75" customHeight="1">
      <c r="A12" s="9"/>
      <c r="B12" s="246"/>
      <c r="C12" s="213" t="s">
        <v>347</v>
      </c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51"/>
      <c r="R12" s="244">
        <f t="shared" si="1"/>
        <v>0</v>
      </c>
      <c r="S12" s="245"/>
      <c r="T12" s="245"/>
      <c r="U12" s="245">
        <f t="shared" si="2"/>
        <v>0</v>
      </c>
      <c r="V12" s="252">
        <v>0.0</v>
      </c>
      <c r="W12" s="245">
        <v>0.0</v>
      </c>
      <c r="X12" s="253">
        <f t="shared" si="3"/>
        <v>0</v>
      </c>
      <c r="Y12" s="254">
        <f t="shared" si="4"/>
        <v>0</v>
      </c>
      <c r="Z12" s="191"/>
      <c r="AA12" s="109"/>
      <c r="AB12" s="9"/>
    </row>
    <row r="13" ht="33.75" customHeight="1">
      <c r="A13" s="9"/>
      <c r="B13" s="230" t="s">
        <v>247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255">
        <f t="shared" ref="X13:Y13" si="5">SUM(X9:X12)</f>
        <v>68.1858</v>
      </c>
      <c r="Y13" s="231">
        <f t="shared" si="5"/>
        <v>1.9092024</v>
      </c>
      <c r="Z13" s="9"/>
      <c r="AA13" s="9"/>
      <c r="AB13" s="9"/>
    </row>
    <row r="14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7.0" customHeight="1">
      <c r="A15" s="9"/>
      <c r="B15" s="232" t="s">
        <v>94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194"/>
      <c r="B16" s="232">
        <v>2024.0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99" t="s">
        <v>20</v>
      </c>
      <c r="Q16" s="233" t="s">
        <v>21</v>
      </c>
      <c r="R16" s="199" t="s">
        <v>22</v>
      </c>
      <c r="S16" s="199" t="s">
        <v>23</v>
      </c>
      <c r="T16" s="199" t="s">
        <v>25</v>
      </c>
      <c r="U16" s="199" t="s">
        <v>26</v>
      </c>
      <c r="V16" s="199" t="s">
        <v>28</v>
      </c>
      <c r="W16" s="199" t="s">
        <v>30</v>
      </c>
      <c r="X16" s="199" t="s">
        <v>32</v>
      </c>
      <c r="Y16" s="76" t="s">
        <v>35</v>
      </c>
      <c r="Z16" s="13"/>
      <c r="AA16" s="25"/>
      <c r="AB16" s="194"/>
    </row>
    <row r="17" ht="12.75" customHeight="1">
      <c r="A17" s="9"/>
      <c r="B17" s="234" t="s">
        <v>311</v>
      </c>
      <c r="C17" s="235" t="s">
        <v>4</v>
      </c>
      <c r="D17" s="235" t="s">
        <v>40</v>
      </c>
      <c r="E17" s="235" t="s">
        <v>42</v>
      </c>
      <c r="F17" s="235" t="s">
        <v>44</v>
      </c>
      <c r="G17" s="235" t="s">
        <v>45</v>
      </c>
      <c r="H17" s="235" t="s">
        <v>46</v>
      </c>
      <c r="I17" s="235" t="s">
        <v>47</v>
      </c>
      <c r="J17" s="235" t="s">
        <v>48</v>
      </c>
      <c r="K17" s="235" t="s">
        <v>49</v>
      </c>
      <c r="L17" s="235" t="s">
        <v>50</v>
      </c>
      <c r="M17" s="235" t="s">
        <v>51</v>
      </c>
      <c r="N17" s="235" t="s">
        <v>52</v>
      </c>
      <c r="O17" s="235" t="s">
        <v>53</v>
      </c>
      <c r="P17" s="236" t="s">
        <v>312</v>
      </c>
      <c r="Q17" s="182" t="s">
        <v>349</v>
      </c>
      <c r="R17" s="182" t="s">
        <v>314</v>
      </c>
      <c r="S17" s="182" t="s">
        <v>315</v>
      </c>
      <c r="T17" s="182" t="s">
        <v>316</v>
      </c>
      <c r="U17" s="182" t="s">
        <v>317</v>
      </c>
      <c r="V17" s="182" t="s">
        <v>318</v>
      </c>
      <c r="W17" s="182" t="s">
        <v>352</v>
      </c>
      <c r="X17" s="182" t="s">
        <v>320</v>
      </c>
      <c r="Y17" s="174" t="s">
        <v>353</v>
      </c>
      <c r="Z17" s="9"/>
      <c r="AA17" s="43"/>
      <c r="AB17" s="9"/>
    </row>
    <row r="18" ht="12.75" customHeight="1">
      <c r="A18" s="9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182" t="s">
        <v>356</v>
      </c>
      <c r="Q18" s="182" t="s">
        <v>357</v>
      </c>
      <c r="R18" s="182" t="s">
        <v>360</v>
      </c>
      <c r="S18" s="182" t="s">
        <v>361</v>
      </c>
      <c r="T18" s="182" t="s">
        <v>363</v>
      </c>
      <c r="U18" s="182" t="s">
        <v>364</v>
      </c>
      <c r="V18" s="182" t="s">
        <v>366</v>
      </c>
      <c r="W18" s="182" t="s">
        <v>367</v>
      </c>
      <c r="X18" s="182" t="s">
        <v>368</v>
      </c>
      <c r="Y18" s="105"/>
      <c r="Z18" s="9"/>
      <c r="AA18" s="48"/>
      <c r="AB18" s="9"/>
    </row>
    <row r="19" ht="41.25" customHeight="1">
      <c r="A19" s="9"/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182" t="s">
        <v>369</v>
      </c>
      <c r="Q19" s="182" t="s">
        <v>370</v>
      </c>
      <c r="R19" s="182" t="s">
        <v>371</v>
      </c>
      <c r="S19" s="182" t="s">
        <v>373</v>
      </c>
      <c r="T19" s="182" t="s">
        <v>335</v>
      </c>
      <c r="U19" s="182" t="s">
        <v>374</v>
      </c>
      <c r="V19" s="182" t="s">
        <v>375</v>
      </c>
      <c r="W19" s="182" t="s">
        <v>376</v>
      </c>
      <c r="X19" s="182" t="s">
        <v>377</v>
      </c>
      <c r="Y19" s="199" t="s">
        <v>378</v>
      </c>
      <c r="Z19" s="58"/>
      <c r="AA19" s="59"/>
      <c r="AB19" s="9"/>
    </row>
    <row r="20" ht="12.75" customHeight="1">
      <c r="A20" s="9"/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179"/>
      <c r="Q20" s="179"/>
      <c r="R20" s="179" t="s">
        <v>297</v>
      </c>
      <c r="S20" s="237"/>
      <c r="T20" s="237"/>
      <c r="U20" s="237" t="s">
        <v>341</v>
      </c>
      <c r="V20" s="179"/>
      <c r="W20" s="179"/>
      <c r="X20" s="179" t="s">
        <v>342</v>
      </c>
      <c r="Y20" s="171" t="s">
        <v>343</v>
      </c>
      <c r="Z20" s="58"/>
      <c r="AA20" s="66"/>
      <c r="AB20" s="9"/>
    </row>
    <row r="21" ht="18.75" customHeight="1">
      <c r="A21" s="9"/>
      <c r="B21" s="213"/>
      <c r="C21" s="213" t="s">
        <v>379</v>
      </c>
      <c r="D21" s="214">
        <v>56916.7</v>
      </c>
      <c r="E21" s="214">
        <v>50157.61</v>
      </c>
      <c r="F21" s="214">
        <v>72358.63</v>
      </c>
      <c r="G21" s="214">
        <v>41598.01</v>
      </c>
      <c r="H21" s="214">
        <v>38645.24</v>
      </c>
      <c r="I21" s="214">
        <v>63994.51</v>
      </c>
      <c r="J21" s="214">
        <v>55355.96</v>
      </c>
      <c r="K21" s="214">
        <v>40184.03</v>
      </c>
      <c r="L21" s="214">
        <v>38603.06</v>
      </c>
      <c r="M21" s="214">
        <v>66251.4</v>
      </c>
      <c r="N21" s="214">
        <v>44917.5</v>
      </c>
      <c r="O21" s="214">
        <v>56494.03</v>
      </c>
      <c r="P21" s="215">
        <f>SUM(D21:O21)</f>
        <v>625476.68</v>
      </c>
      <c r="Q21" s="238">
        <f>AVERAGE(51.32,67.95,55.01,53.56,53.64,48.51,58.54,46.76,40.68,36.09,44.76,40.97)/1000</f>
        <v>0.04981583333</v>
      </c>
      <c r="R21" s="217">
        <f t="shared" ref="R21:R24" si="6">P21*Q21</f>
        <v>31158.64204</v>
      </c>
      <c r="S21" s="217">
        <v>0.25</v>
      </c>
      <c r="T21" s="240">
        <v>0.3</v>
      </c>
      <c r="U21" s="217">
        <f t="shared" ref="U21:U24" si="7">S21*T21</f>
        <v>0.075</v>
      </c>
      <c r="V21" s="241">
        <v>0.0</v>
      </c>
      <c r="W21" s="241">
        <v>0.0</v>
      </c>
      <c r="X21" s="242">
        <f t="shared" ref="X21:X24" si="8">((R21-V21)*U21)-W21</f>
        <v>2336.898153</v>
      </c>
      <c r="Y21" s="217">
        <f t="shared" ref="Y21:Y24" si="9">X21*28/1000</f>
        <v>65.43314829</v>
      </c>
      <c r="Z21" s="58"/>
      <c r="AA21" s="66"/>
      <c r="AB21" s="9"/>
    </row>
    <row r="22" ht="12.75" customHeight="1">
      <c r="A22" s="9"/>
      <c r="B22" s="213"/>
      <c r="C22" s="213" t="s">
        <v>380</v>
      </c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5"/>
      <c r="Q22" s="243"/>
      <c r="R22" s="244">
        <f t="shared" si="6"/>
        <v>0</v>
      </c>
      <c r="S22" s="245"/>
      <c r="T22" s="246"/>
      <c r="U22" s="245">
        <f t="shared" si="7"/>
        <v>0</v>
      </c>
      <c r="V22" s="245">
        <v>0.0</v>
      </c>
      <c r="W22" s="241">
        <v>0.0</v>
      </c>
      <c r="X22" s="246">
        <f t="shared" si="8"/>
        <v>0</v>
      </c>
      <c r="Y22" s="242">
        <f t="shared" si="9"/>
        <v>0</v>
      </c>
      <c r="Z22" s="191"/>
      <c r="AA22" s="66"/>
      <c r="AB22" s="9"/>
    </row>
    <row r="23" ht="12.75" customHeight="1">
      <c r="A23" s="9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7"/>
      <c r="R23" s="217">
        <f t="shared" si="6"/>
        <v>0</v>
      </c>
      <c r="S23" s="241"/>
      <c r="T23" s="241"/>
      <c r="U23" s="241">
        <f t="shared" si="7"/>
        <v>0</v>
      </c>
      <c r="V23" s="248">
        <v>0.0</v>
      </c>
      <c r="W23" s="241">
        <v>0.0</v>
      </c>
      <c r="X23" s="249">
        <f t="shared" si="8"/>
        <v>0</v>
      </c>
      <c r="Y23" s="250">
        <f t="shared" si="9"/>
        <v>0</v>
      </c>
      <c r="Z23" s="191"/>
      <c r="AA23" s="66"/>
      <c r="AB23" s="9"/>
    </row>
    <row r="24" ht="12.75" customHeight="1">
      <c r="A24" s="9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51"/>
      <c r="R24" s="244">
        <f t="shared" si="6"/>
        <v>0</v>
      </c>
      <c r="S24" s="245"/>
      <c r="T24" s="245"/>
      <c r="U24" s="245">
        <f t="shared" si="7"/>
        <v>0</v>
      </c>
      <c r="V24" s="252">
        <v>0.0</v>
      </c>
      <c r="W24" s="245">
        <v>0.0</v>
      </c>
      <c r="X24" s="253">
        <f t="shared" si="8"/>
        <v>0</v>
      </c>
      <c r="Y24" s="254">
        <f t="shared" si="9"/>
        <v>0</v>
      </c>
      <c r="Z24" s="191"/>
      <c r="AA24" s="109"/>
      <c r="AB24" s="9"/>
    </row>
    <row r="25" ht="33.75" customHeight="1">
      <c r="A25" s="9"/>
      <c r="B25" s="230" t="s">
        <v>247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255">
        <f t="shared" ref="X25:Y25" si="10">SUM(X21:X24)</f>
        <v>2336.898153</v>
      </c>
      <c r="Y25" s="231">
        <f t="shared" si="10"/>
        <v>65.43314829</v>
      </c>
      <c r="Z25" s="9"/>
      <c r="AA25" s="9"/>
      <c r="AB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3"/>
      <c r="AA31" s="103"/>
      <c r="AB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49"/>
      <c r="AA67" s="9"/>
      <c r="AB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56"/>
      <c r="AA80" s="156"/>
      <c r="AB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59"/>
      <c r="AA82" s="159"/>
      <c r="AB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59"/>
      <c r="AA83" s="159"/>
      <c r="AB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59"/>
      <c r="AA84" s="159"/>
      <c r="AB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59"/>
      <c r="AA85" s="159"/>
      <c r="AB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59"/>
      <c r="AA86" s="159"/>
      <c r="AB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59"/>
      <c r="AA87" s="159"/>
      <c r="AB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59"/>
      <c r="AA88" s="159"/>
      <c r="AB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59"/>
      <c r="AA89" s="159"/>
      <c r="AB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59"/>
      <c r="AA90" s="159"/>
      <c r="AB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10">
    <mergeCell ref="AA16:AA17"/>
    <mergeCell ref="Y17:Y18"/>
    <mergeCell ref="B3:P3"/>
    <mergeCell ref="B4:O4"/>
    <mergeCell ref="AA4:AA5"/>
    <mergeCell ref="Y5:Y6"/>
    <mergeCell ref="B13:W13"/>
    <mergeCell ref="B15:P15"/>
    <mergeCell ref="B16:O16"/>
    <mergeCell ref="B25:W2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0"/>
    <col customWidth="1" min="2" max="2" width="14.13"/>
    <col customWidth="1" min="3" max="3" width="28.88"/>
    <col customWidth="1" min="4" max="4" width="18.0"/>
    <col customWidth="1" min="5" max="5" width="19.63"/>
    <col customWidth="1" min="6" max="6" width="18.0"/>
    <col customWidth="1" hidden="1" min="7" max="7" width="9.13"/>
    <col customWidth="1" hidden="1" min="8" max="8" width="68.5"/>
    <col customWidth="1" min="9" max="26" width="9.13"/>
  </cols>
  <sheetData>
    <row r="1" ht="22.5" customHeight="1">
      <c r="A1" s="256"/>
      <c r="B1" s="257" t="s">
        <v>348</v>
      </c>
      <c r="C1" s="257"/>
      <c r="D1" s="257"/>
      <c r="E1" s="258"/>
      <c r="F1" s="257"/>
      <c r="G1" s="257"/>
      <c r="H1" s="257"/>
      <c r="I1" s="257"/>
      <c r="J1" s="259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49"/>
      <c r="B3" s="260" t="s">
        <v>20</v>
      </c>
      <c r="C3" s="64"/>
      <c r="D3" s="261" t="s">
        <v>21</v>
      </c>
      <c r="E3" s="262" t="s">
        <v>22</v>
      </c>
      <c r="F3" s="262" t="s">
        <v>23</v>
      </c>
      <c r="G3" s="149"/>
      <c r="H3" s="263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34.5" customHeight="1">
      <c r="A4" s="9"/>
      <c r="B4" s="264" t="s">
        <v>350</v>
      </c>
      <c r="C4" s="265" t="s">
        <v>351</v>
      </c>
      <c r="D4" s="266" t="s">
        <v>0</v>
      </c>
      <c r="E4" s="266" t="s">
        <v>354</v>
      </c>
      <c r="F4" s="267" t="s">
        <v>355</v>
      </c>
      <c r="G4" s="9"/>
      <c r="H4" s="26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269"/>
      <c r="C5" s="269" t="s">
        <v>358</v>
      </c>
      <c r="D5" s="270" t="s">
        <v>359</v>
      </c>
      <c r="E5" s="271" t="s">
        <v>362</v>
      </c>
      <c r="F5" s="272" t="s">
        <v>365</v>
      </c>
      <c r="G5" s="9"/>
      <c r="H5" s="26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9"/>
      <c r="B6" s="271"/>
      <c r="C6" s="269"/>
      <c r="D6" s="273"/>
      <c r="E6" s="274"/>
      <c r="F6" s="275" t="s">
        <v>372</v>
      </c>
      <c r="G6" s="9"/>
      <c r="H6" s="26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9"/>
      <c r="B7" s="276" t="s">
        <v>40</v>
      </c>
      <c r="C7" s="277">
        <v>43020.0</v>
      </c>
      <c r="D7" s="278">
        <v>0.001</v>
      </c>
      <c r="E7" s="279">
        <v>0.6592</v>
      </c>
      <c r="F7" s="280">
        <f t="shared" ref="F7:F18" si="1">C7*D7*E7</f>
        <v>28.358784</v>
      </c>
      <c r="G7" s="9"/>
      <c r="H7" s="26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281" t="s">
        <v>42</v>
      </c>
      <c r="C8" s="277">
        <v>1408240.0</v>
      </c>
      <c r="D8" s="278">
        <v>0.001</v>
      </c>
      <c r="E8" s="279">
        <v>0.6592</v>
      </c>
      <c r="F8" s="280">
        <f t="shared" si="1"/>
        <v>928.311808</v>
      </c>
      <c r="G8" s="9"/>
      <c r="H8" s="26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9"/>
      <c r="B9" s="281" t="s">
        <v>44</v>
      </c>
      <c r="C9" s="277">
        <v>851425.0</v>
      </c>
      <c r="D9" s="278">
        <v>0.001</v>
      </c>
      <c r="E9" s="279">
        <v>0.6592</v>
      </c>
      <c r="F9" s="280">
        <f t="shared" si="1"/>
        <v>561.25936</v>
      </c>
      <c r="G9" s="9"/>
      <c r="H9" s="26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9"/>
      <c r="B10" s="281" t="s">
        <v>45</v>
      </c>
      <c r="C10" s="277">
        <v>584968.0</v>
      </c>
      <c r="D10" s="278">
        <v>0.001</v>
      </c>
      <c r="E10" s="279">
        <v>0.6592</v>
      </c>
      <c r="F10" s="280">
        <f t="shared" si="1"/>
        <v>385.6109056</v>
      </c>
      <c r="G10" s="9"/>
      <c r="H10" s="26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281" t="s">
        <v>46</v>
      </c>
      <c r="C11" s="277">
        <v>53178.0</v>
      </c>
      <c r="D11" s="278">
        <v>0.001</v>
      </c>
      <c r="E11" s="279">
        <v>0.6592</v>
      </c>
      <c r="F11" s="280">
        <f t="shared" si="1"/>
        <v>35.0549376</v>
      </c>
      <c r="G11" s="9"/>
      <c r="H11" s="28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9"/>
      <c r="B12" s="281" t="s">
        <v>47</v>
      </c>
      <c r="C12" s="277">
        <v>59553.0</v>
      </c>
      <c r="D12" s="278">
        <v>0.001</v>
      </c>
      <c r="E12" s="279">
        <v>0.6592</v>
      </c>
      <c r="F12" s="280">
        <f t="shared" si="1"/>
        <v>39.2573376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281" t="s">
        <v>48</v>
      </c>
      <c r="C13" s="277">
        <v>60720.0</v>
      </c>
      <c r="D13" s="278">
        <v>0.001</v>
      </c>
      <c r="E13" s="279">
        <v>0.6592</v>
      </c>
      <c r="F13" s="280">
        <f t="shared" si="1"/>
        <v>40.026624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281" t="s">
        <v>49</v>
      </c>
      <c r="C14" s="277">
        <v>61380.0</v>
      </c>
      <c r="D14" s="278">
        <v>0.001</v>
      </c>
      <c r="E14" s="279">
        <v>0.6592</v>
      </c>
      <c r="F14" s="280">
        <f t="shared" si="1"/>
        <v>40.461696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281" t="s">
        <v>50</v>
      </c>
      <c r="C15" s="277">
        <v>522600.0</v>
      </c>
      <c r="D15" s="278">
        <v>0.001</v>
      </c>
      <c r="E15" s="279">
        <v>0.6592</v>
      </c>
      <c r="F15" s="280">
        <f t="shared" si="1"/>
        <v>344.49792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281" t="s">
        <v>51</v>
      </c>
      <c r="C16" s="277">
        <v>1262790.0</v>
      </c>
      <c r="D16" s="278">
        <v>0.001</v>
      </c>
      <c r="E16" s="279">
        <v>0.6592</v>
      </c>
      <c r="F16" s="280">
        <f t="shared" si="1"/>
        <v>832.431168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281" t="s">
        <v>52</v>
      </c>
      <c r="C17" s="277">
        <v>42238.0</v>
      </c>
      <c r="D17" s="278">
        <v>0.001</v>
      </c>
      <c r="E17" s="279">
        <v>0.6592</v>
      </c>
      <c r="F17" s="280">
        <f t="shared" si="1"/>
        <v>27.8432896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281" t="s">
        <v>53</v>
      </c>
      <c r="C18" s="277">
        <v>2147600.0</v>
      </c>
      <c r="D18" s="278">
        <v>0.001</v>
      </c>
      <c r="E18" s="279">
        <v>0.6592</v>
      </c>
      <c r="F18" s="280">
        <f t="shared" si="1"/>
        <v>1415.69792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9"/>
      <c r="B19" s="283"/>
      <c r="C19" s="284">
        <f>SUM(C7:C18)</f>
        <v>7097712</v>
      </c>
      <c r="D19" s="285"/>
      <c r="E19" s="286" t="s">
        <v>247</v>
      </c>
      <c r="F19" s="287">
        <f>SUM(F7:F18)</f>
        <v>4678.81175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28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B3:C3"/>
    <mergeCell ref="H3:H11"/>
  </mergeCells>
  <printOptions/>
  <pageMargins bottom="0.75" footer="0.0" header="0.0" left="0.7" right="0.7" top="0.75"/>
  <pageSetup orientation="landscape"/>
  <drawing r:id="rId1"/>
</worksheet>
</file>